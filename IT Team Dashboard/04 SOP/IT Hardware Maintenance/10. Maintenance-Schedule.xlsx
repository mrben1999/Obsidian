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Dashboard_KPI" sheetId="1" state="visible" r:id="rId3"/>
    <sheet name="01_Danh_Muc_Tai_San" sheetId="2" state="visible" r:id="rId4"/>
    <sheet name="02_Lich_PM" sheetId="3" state="visible" r:id="rId5"/>
    <sheet name="03_Lich_Su_Sua_Chua" sheetId="4" state="visible" r:id="rId6"/>
    <sheet name="04_Lich_Nam_Calenda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<sst xmlns="http://schemas.openxmlformats.org/spreadsheetml/2006/main" count="365" uniqueCount="184">
  <si>
    <t xml:space="preserve">DASHBOARD KPI — BẢO DƯỠNG PHẦN CỨNG IT</t>
  </si>
  <si>
    <t xml:space="preserve">Số liệu tự động tính từ sheet 02_Lich_PM và 03_Lich_Su_Sua_Chua — xem định nghĩa chi tiết tại KPI-Hardware-Maintenance.md</t>
  </si>
  <si>
    <t xml:space="preserve">PM Compliance Rate</t>
  </si>
  <si>
    <t xml:space="preserve">Số lượt PM trễ hạn</t>
  </si>
  <si>
    <t xml:space="preserve">Số thiết bị chưa PM</t>
  </si>
  <si>
    <t xml:space="preserve">Mục tiêu: ≥ 95%</t>
  </si>
  <si>
    <t xml:space="preserve">Mục tiêu: 0 lượt</t>
  </si>
  <si>
    <t xml:space="preserve">Cần lên lịch xử lý</t>
  </si>
  <si>
    <t xml:space="preserve">MTTR trung bình (giờ)</t>
  </si>
  <si>
    <t xml:space="preserve">First-Time-Fix Rate</t>
  </si>
  <si>
    <t xml:space="preserve">Tổng số sự cố ghi nhận</t>
  </si>
  <si>
    <t xml:space="preserve">Mục tiêu P1 ≤ 1h, P2 ≤ 4h</t>
  </si>
  <si>
    <t xml:space="preserve">Mục tiêu: ≥ 90%</t>
  </si>
  <si>
    <t xml:space="preserve">Luỹ kế trong kỳ báo cáo</t>
  </si>
  <si>
    <t xml:space="preserve">Tổng chi phí sửa chữa (VNĐ)</t>
  </si>
  <si>
    <t xml:space="preserve">Chi phí TB/thiết bị (VNĐ)</t>
  </si>
  <si>
    <t xml:space="preserve">Tổng số thiết bị quản lý</t>
  </si>
  <si>
    <t xml:space="preserve">So sánh với ngân sách kế hoạch</t>
  </si>
  <si>
    <t xml:space="preserve">Theo Danh mục tài sản</t>
  </si>
  <si>
    <t xml:space="preserve">Sự cố theo mức độ ưu tiên</t>
  </si>
  <si>
    <t xml:space="preserve">Mức độ</t>
  </si>
  <si>
    <t xml:space="preserve">Số lượng</t>
  </si>
  <si>
    <t xml:space="preserve">P1</t>
  </si>
  <si>
    <t xml:space="preserve">P2</t>
  </si>
  <si>
    <t xml:space="preserve">P3</t>
  </si>
  <si>
    <t xml:space="preserve">P4</t>
  </si>
  <si>
    <t xml:space="preserve">DANH MỤC TÀI SẢN PHẦN CỨNG IT — NHÀ MÁY QVN</t>
  </si>
  <si>
    <t xml:space="preserve">Nguồn dữ liệu chính cho lịch PM và tính KPI — cập nhật khi có thiết bị mới/thanh lý</t>
  </si>
  <si>
    <t xml:space="preserve">Asset Tag</t>
  </si>
  <si>
    <t xml:space="preserve">Tên thiết bị</t>
  </si>
  <si>
    <t xml:space="preserve">Loại thiết bị</t>
  </si>
  <si>
    <t xml:space="preserve">Model</t>
  </si>
  <si>
    <t xml:space="preserve">Serial Number</t>
  </si>
  <si>
    <t xml:space="preserve">Vị trí</t>
  </si>
  <si>
    <t xml:space="preserve">VLAN</t>
  </si>
  <si>
    <t xml:space="preserve">Ngày mua</t>
  </si>
  <si>
    <t xml:space="preserve">Hạn bảo hành</t>
  </si>
  <si>
    <t xml:space="preserve">Nhà cung cấp</t>
  </si>
  <si>
    <t xml:space="preserve">Người phụ trách/dùng chính</t>
  </si>
  <si>
    <t xml:space="preserve">Tần suất PM</t>
  </si>
  <si>
    <t xml:space="preserve">Ngày PM gần nhất</t>
  </si>
  <si>
    <t xml:space="preserve">Ngày PM tiếp theo</t>
  </si>
  <si>
    <t xml:space="preserve">Trạng thái</t>
  </si>
  <si>
    <t xml:space="preserve">PC-OFF-001</t>
  </si>
  <si>
    <t xml:space="preserve">PC Kế toán 01</t>
  </si>
  <si>
    <t xml:space="preserve">PC Văn phòng</t>
  </si>
  <si>
    <t xml:space="preserve">Dell OptiPlex 3080</t>
  </si>
  <si>
    <t xml:space="preserve">SN-DL30801</t>
  </si>
  <si>
    <t xml:space="preserve">Văn phòng - Kế toán</t>
  </si>
  <si>
    <t xml:space="preserve">VLAN20</t>
  </si>
  <si>
    <t xml:space="preserve">2024-03-15</t>
  </si>
  <si>
    <t xml:space="preserve">2027-03-15</t>
  </si>
  <si>
    <t xml:space="preserve">Dell Vietnam</t>
  </si>
  <si>
    <t xml:space="preserve">Nguyễn Thị B</t>
  </si>
  <si>
    <t xml:space="preserve">6 tháng</t>
  </si>
  <si>
    <t xml:space="preserve">2026-03-10</t>
  </si>
  <si>
    <t xml:space="preserve">Đang hoạt động</t>
  </si>
  <si>
    <t xml:space="preserve">KIOSK-XN-001</t>
  </si>
  <si>
    <t xml:space="preserve">Kiosk Dashboard Chuyền 1</t>
  </si>
  <si>
    <t xml:space="preserve">Kiosk Sản xuất</t>
  </si>
  <si>
    <t xml:space="preserve">Advantech UNO-2484G</t>
  </si>
  <si>
    <t xml:space="preserve">SN-ADV2484-01</t>
  </si>
  <si>
    <t xml:space="preserve">Xưởng may - Chuyền 1</t>
  </si>
  <si>
    <t xml:space="preserve">VLAN30</t>
  </si>
  <si>
    <t xml:space="preserve">2024-06-01</t>
  </si>
  <si>
    <t xml:space="preserve">2026-06-01</t>
  </si>
  <si>
    <t xml:space="preserve">Advantech</t>
  </si>
  <si>
    <t xml:space="preserve">Tổ trưởng CH1</t>
  </si>
  <si>
    <t xml:space="preserve">Quý</t>
  </si>
  <si>
    <t xml:space="preserve">2026-06-05</t>
  </si>
  <si>
    <t xml:space="preserve">PRT-OFF-001</t>
  </si>
  <si>
    <t xml:space="preserve">Máy in HR</t>
  </si>
  <si>
    <t xml:space="preserve">Máy in</t>
  </si>
  <si>
    <t xml:space="preserve">HP LaserJet Pro M404dn</t>
  </si>
  <si>
    <t xml:space="preserve">SN-HP404-01</t>
  </si>
  <si>
    <t xml:space="preserve">Văn phòng - HR</t>
  </si>
  <si>
    <t xml:space="preserve">2023-11-20</t>
  </si>
  <si>
    <t xml:space="preserve">2025-11-20</t>
  </si>
  <si>
    <t xml:space="preserve">HP Vietnam</t>
  </si>
  <si>
    <t xml:space="preserve">Trần Văn C</t>
  </si>
  <si>
    <t xml:space="preserve">2026-05-01</t>
  </si>
  <si>
    <t xml:space="preserve">SRV-DC01</t>
  </si>
  <si>
    <t xml:space="preserve">Domain Controller 01</t>
  </si>
  <si>
    <t xml:space="preserve">Server</t>
  </si>
  <si>
    <t xml:space="preserve">Dell PowerEdge R340</t>
  </si>
  <si>
    <t xml:space="preserve">SN-PER340-01</t>
  </si>
  <si>
    <t xml:space="preserve">Phòng máy chủ</t>
  </si>
  <si>
    <t xml:space="preserve">VLAN10</t>
  </si>
  <si>
    <t xml:space="preserve">2023-01-10</t>
  </si>
  <si>
    <t xml:space="preserve">2026-01-10</t>
  </si>
  <si>
    <t xml:space="preserve">IT Manager</t>
  </si>
  <si>
    <t xml:space="preserve">2026-04-01</t>
  </si>
  <si>
    <t xml:space="preserve">SW-CORE-01</t>
  </si>
  <si>
    <t xml:space="preserve">Switch Core</t>
  </si>
  <si>
    <t xml:space="preserve">Thiết bị mạng</t>
  </si>
  <si>
    <t xml:space="preserve">Cisco CBS350-48P</t>
  </si>
  <si>
    <t xml:space="preserve">SN-CBS350-C01</t>
  </si>
  <si>
    <t xml:space="preserve">Trunk</t>
  </si>
  <si>
    <t xml:space="preserve">Cisco Vietnam</t>
  </si>
  <si>
    <t xml:space="preserve">FGT-200F-01</t>
  </si>
  <si>
    <t xml:space="preserve">FortiGate Firewall</t>
  </si>
  <si>
    <t xml:space="preserve">FortiGate 200F</t>
  </si>
  <si>
    <t xml:space="preserve">SN-FGT200F-01</t>
  </si>
  <si>
    <t xml:space="preserve">Fortinet Vietnam</t>
  </si>
  <si>
    <t xml:space="preserve">UPS-SRV-01</t>
  </si>
  <si>
    <t xml:space="preserve">UPS Phòng máy chủ</t>
  </si>
  <si>
    <t xml:space="preserve">UPS</t>
  </si>
  <si>
    <t xml:space="preserve">APC Smart-UPS 3000VA</t>
  </si>
  <si>
    <t xml:space="preserve">SN-APC3000-01</t>
  </si>
  <si>
    <t xml:space="preserve">-</t>
  </si>
  <si>
    <t xml:space="preserve">APC Vietnam</t>
  </si>
  <si>
    <t xml:space="preserve">2026-01-15</t>
  </si>
  <si>
    <t xml:space="preserve">LỊCH BẢO DƯỠNG ĐỊNH KỲ (PM SCHEDULE) — NĂM 2026</t>
  </si>
  <si>
    <t xml:space="preserve">Cập nhật trạng thái sau mỗi lần thực hiện PM theo SOP-Preventive-Maintenance</t>
  </si>
  <si>
    <t xml:space="preserve">Ngày PM kế hoạch</t>
  </si>
  <si>
    <t xml:space="preserve">Ngày PM thực tế</t>
  </si>
  <si>
    <t xml:space="preserve">Người thực hiện</t>
  </si>
  <si>
    <t xml:space="preserve">Checklist sử dụng</t>
  </si>
  <si>
    <t xml:space="preserve">Kết quả</t>
  </si>
  <si>
    <t xml:space="preserve">Trạng thái tuân thủ</t>
  </si>
  <si>
    <t xml:space="preserve">Ghi chú</t>
  </si>
  <si>
    <t xml:space="preserve">Maintenance-Checklist-PC</t>
  </si>
  <si>
    <t xml:space="preserve">Đạt</t>
  </si>
  <si>
    <t xml:space="preserve">2026-02-01</t>
  </si>
  <si>
    <t xml:space="preserve">Vệ sinh bụi nhiều hơn bình thường</t>
  </si>
  <si>
    <t xml:space="preserve">2026-02-15</t>
  </si>
  <si>
    <t xml:space="preserve">2026-02-16</t>
  </si>
  <si>
    <t xml:space="preserve">Maintenance-Checklist-Printer</t>
  </si>
  <si>
    <t xml:space="preserve">Trễ 1 ngày do bận việc khác</t>
  </si>
  <si>
    <t xml:space="preserve">Maintenance-Checklist-Network</t>
  </si>
  <si>
    <t xml:space="preserve">Chưa thực hiện - đến hạn</t>
  </si>
  <si>
    <t xml:space="preserve">LỊCH SỬ SỰ CỐ &amp; SỬA CHỮA (REPAIR LOG)</t>
  </si>
  <si>
    <t xml:space="preserve">Cập nhật sau mỗi lần xử lý sự cố theo SOP-Hardware-Repair / Hardware-Repair-Report</t>
  </si>
  <si>
    <t xml:space="preserve">Mã báo cáo</t>
  </si>
  <si>
    <t xml:space="preserve">Ngày báo lỗi</t>
  </si>
  <si>
    <t xml:space="preserve">Ngày xử lý xong</t>
  </si>
  <si>
    <t xml:space="preserve">Mức độ (P1-P4)</t>
  </si>
  <si>
    <t xml:space="preserve">Mô tả sự cố</t>
  </si>
  <si>
    <t xml:space="preserve">Nguyên nhân gốc</t>
  </si>
  <si>
    <t xml:space="preserve">Biện pháp xử lý</t>
  </si>
  <si>
    <t xml:space="preserve">Thời gian xử lý (giờ)</t>
  </si>
  <si>
    <t xml:space="preserve">Sửa lần đầu thành công?</t>
  </si>
  <si>
    <t xml:space="preserve">Chi phí (VNĐ)</t>
  </si>
  <si>
    <t xml:space="preserve">Người xử lý</t>
  </si>
  <si>
    <t xml:space="preserve">REP-20260215-001</t>
  </si>
  <si>
    <t xml:space="preserve">Kẹt giấy liên tục</t>
  </si>
  <si>
    <t xml:space="preserve">Trục lăn giấy mòn do bụi tích tụ lâu ngày</t>
  </si>
  <si>
    <t xml:space="preserve">Vệ sinh trục lăn, thay trục lăn mới</t>
  </si>
  <si>
    <t xml:space="preserve">Có</t>
  </si>
  <si>
    <t xml:space="preserve">REP-20260310-002</t>
  </si>
  <si>
    <t xml:space="preserve">Kiosk không lên nguồn</t>
  </si>
  <si>
    <t xml:space="preserve">Nguồn (PSU) hỏng do môi trường bụi/ẩm khu xưởng</t>
  </si>
  <si>
    <t xml:space="preserve">Thay PSU mới từ tồn kho dự phòng</t>
  </si>
  <si>
    <t xml:space="preserve">REP-20260420-003</t>
  </si>
  <si>
    <t xml:space="preserve">2026-04-20</t>
  </si>
  <si>
    <t xml:space="preserve">2026-04-21</t>
  </si>
  <si>
    <t xml:space="preserve">1 port không lên link</t>
  </si>
  <si>
    <t xml:space="preserve">Cổng SFP bị lỗi</t>
  </si>
  <si>
    <t xml:space="preserve">Chuyển sang port dự phòng, đặt mua SFP mới</t>
  </si>
  <si>
    <t xml:space="preserve">Không</t>
  </si>
  <si>
    <t xml:space="preserve">LỊCH BẢO DƯỠNG ĐỊNH KỲ — DẠNG CALENDAR NĂM 2026</t>
  </si>
  <si>
    <t xml:space="preserve">Ô màu cam = có thiết bị đến hạn PM theo '02_Lich_PM' (Ngày PM kế hoạch) — số liệu tự cập nhật khi sửa lịch PM. Ô viền đỏ đậm = hôm nay.</t>
  </si>
  <si>
    <t xml:space="preserve">Chú thích:</t>
  </si>
  <si>
    <t xml:space="preserve">Có PM đến hạn trong ngày</t>
  </si>
  <si>
    <t xml:space="preserve">Cuối tuần (T7/CN)</t>
  </si>
  <si>
    <t xml:space="preserve">Tháng 01 - 2026</t>
  </si>
  <si>
    <t xml:space="preserve">Tháng 02 - 2026</t>
  </si>
  <si>
    <t xml:space="preserve">Tháng 03 - 2026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</si>
  <si>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</si>
  <si>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</si>
  <si>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</si>
  <si>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</si>
  <si>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</si>
  <si>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</si>
  <si>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CN</t>
  </si>
  <si>
    <t xml:space="preserve">Tháng 04 - 2026</t>
  </si>
  <si>
    <t xml:space="preserve">Tháng 05 - 2026</t>
  </si>
  <si>
    <t xml:space="preserve">Tháng 06 - 2026</t>
  </si>
  <si>
    <t xml:space="preserve">Tháng 07 - 2026</t>
  </si>
  <si>
    <t xml:space="preserve">Tháng 08 - 2026</t>
  </si>
  <si>
    <t xml:space="preserve">Tháng 09 - 2026</t>
  </si>
  <si>
    <t xml:space="preserve">Tháng 10 - 2026</t>
  </si>
  <si>
    <t xml:space="preserve">Tháng 11 - 2026</t>
  </si>
  <si>
    <t xml:space="preserve">Tháng 12 - 2026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</si>
</sst>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0"/>
    <numFmt numFmtId="167" formatCode="0.0"/>
    <numFmt numFmtId="168" formatCode="#,##0"/>
    <numFmt numFmtId="169" formatCode="yyyy\-mm\-dd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229"/>
      <name val="Arial"/>
      <family val="0"/>
      <charset val="1"/>
    </font>
    <font>
      <i val="true"/>
      <sz val="9"/>
      <color rgb="FF757575"/>
      <name val="Arial"/>
      <family val="0"/>
      <charset val="1"/>
    </font>
    <font>
      <b val="true"/>
      <sz val="10"/>
      <color rgb="FF1F2229"/>
      <name val="Arial"/>
      <family val="0"/>
      <charset val="1"/>
    </font>
    <font>
      <b val="true"/>
      <sz val="20"/>
      <color rgb="FF1F222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4"/>
      <color rgb="FF1F2229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1F222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5F5F5"/>
        <bgColor rgb="FFFAFAFA"/>
      </patternFill>
    </fill>
    <fill>
      <patternFill patternType="solid">
        <fgColor rgb="FF1F2229"/>
        <bgColor rgb="FF333300"/>
      </patternFill>
    </fill>
    <fill>
      <patternFill patternType="solid">
        <fgColor rgb="FFFDE9CE"/>
        <bgColor rgb="FFFFF3CD"/>
      </patternFill>
    </fill>
    <fill>
      <patternFill patternType="solid">
        <fgColor rgb="FFFAFAFA"/>
        <bgColor rgb="FFFFFFFF"/>
      </patternFill>
    </fill>
    <fill>
      <patternFill patternType="solid">
        <fgColor rgb="FF4A4E58"/>
        <bgColor rgb="FF333399"/>
      </patternFill>
    </fill>
    <fill>
      <patternFill patternType="solid">
        <fgColor rgb="FFFFFFFF"/>
        <bgColor rgb="FFFAFA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8D7DA"/>
        </patternFill>
      </fill>
    </dxf>
    <dxf>
      <fill>
        <patternFill>
          <bgColor rgb="FFD4EDDA"/>
        </patternFill>
      </fill>
    </dxf>
    <dxf>
      <fill>
        <patternFill>
          <bgColor rgb="FFFFF3CD"/>
        </patternFill>
      </fill>
    </dxf>
    <dxf>
      <font>
        <name val="Arial"/>
        <charset val="1"/>
        <family val="0"/>
        <b val="1"/>
        <sz val="10"/>
      </font>
      <fill>
        <patternFill>
          <bgColor rgb="FFFDE9CE"/>
        </patternFill>
      </fill>
    </dxf>
    <dxf>
      <font>
        <name val="Arial"/>
        <charset val="1"/>
        <family val="0"/>
        <b val="1"/>
        <color rgb="FFC62828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757575"/>
      <rgbColor rgb="FF9999FF"/>
      <rgbColor rgb="FF993366"/>
      <rgbColor rgb="FFFFF3CD"/>
      <rgbColor rgb="FFF5F5F5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A"/>
      <rgbColor rgb="FFD4EDDA"/>
      <rgbColor rgb="FFFDE9CE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4A4E58"/>
      <rgbColor rgb="FF969696"/>
      <rgbColor rgb="FF003366"/>
      <rgbColor rgb="FF339966"/>
      <rgbColor rgb="FF003300"/>
      <rgbColor rgb="FF333300"/>
      <rgbColor rgb="FFC62828"/>
      <rgbColor rgb="FF993366"/>
      <rgbColor rgb="FF333399"/>
      <rgbColor rgb="FF1F22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Sự cố theo mức độ ưu tiên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</c:ser>
        <c:gapWidth val="150"/>
        <c:overlap val="0"/>
        <c:axId val="82635793"/>
        <c:axId val="45258267"/>
      </c:barChart>
      <c:catAx>
        <c:axId val="8263579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Mức độ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$-409]mm/dd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258267"/>
        <c:crosses val="autoZero"/>
        <c:auto val="1"/>
        <c:lblAlgn val="ctr"/>
        <c:lblOffset val="100"/>
        <c:noMultiLvlLbl val="0"/>
      </c:catAx>
      <c:valAx>
        <c:axId val="452582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Số lượng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6357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18</xdr:row>
      <xdr:rowOff>130680</xdr:rowOff>
    </xdr:from>
    <xdr:to>
      <xdr:col>6</xdr:col>
      <xdr:colOff>372240</xdr:colOff>
      <xdr:row>33</xdr:row>
      <xdr:rowOff>152640</xdr:rowOff>
    </xdr:to>
    <xdr:graphicFrame>
      <xdr:nvGraphicFramePr>
        <xdr:cNvPr id="0" name="Chart 1"/>
        <xdr:cNvGraphicFramePr/>
      </xdr:nvGraphicFramePr>
      <xdr:xfrm>
        <a:off x="4088160" y="3616920"/>
        <a:ext cx="431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18"/>
    <col collapsed="false" customWidth="true" hidden="false" outlineLevel="0" max="5" min="5" style="1" width="20"/>
    <col collapsed="false" customWidth="true" hidden="false" outlineLevel="0" max="6" min="6" style="1" width="18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/>
      <c r="C4" s="4" t="s">
        <v>3</v>
      </c>
      <c r="D4" s="4"/>
      <c r="E4" s="4" t="s">
        <v>4</v>
      </c>
      <c r="F4" s="4"/>
    </row>
    <row r="5" customFormat="false" ht="15" hidden="false" customHeight="true" outlineLevel="0" collapsed="false">
      <c r="A5" s="5" t="n">
        <f aca="false">IFERROR(COUNTIF(02_Lich_PM!J5:J1000,"Đúng hạn")/(COUNTIF(02_Lich_PM!J5:J1000,"Đúng hạn")+COUNTIF(02_Lich_PM!J5:J1000,"Trễ hạn")),"N/A")</f>
        <v>0.8</v>
      </c>
      <c r="B5" s="5"/>
      <c r="C5" s="6" t="n">
        <f aca="false">COUNTIF(02_Lich_PM!J5:J1000,"Trễ hạn")</f>
        <v>1</v>
      </c>
      <c r="D5" s="6"/>
      <c r="E5" s="6" t="n">
        <f aca="false">COUNTIF(02_Lich_PM!J5:J1000,"Chưa PM")</f>
        <v>2</v>
      </c>
      <c r="F5" s="6"/>
    </row>
    <row r="6" customFormat="false" ht="15" hidden="false" customHeight="true" outlineLevel="0" collapsed="false">
      <c r="A6" s="5"/>
      <c r="B6" s="5"/>
      <c r="C6" s="6"/>
      <c r="D6" s="6"/>
      <c r="E6" s="6"/>
      <c r="F6" s="6"/>
    </row>
    <row r="7" customFormat="false" ht="15" hidden="false" customHeight="true" outlineLevel="0" collapsed="false">
      <c r="A7" s="7" t="s">
        <v>5</v>
      </c>
      <c r="B7" s="7"/>
      <c r="C7" s="7" t="s">
        <v>6</v>
      </c>
      <c r="D7" s="7"/>
      <c r="E7" s="7" t="s">
        <v>7</v>
      </c>
      <c r="F7" s="7"/>
    </row>
    <row r="9" customFormat="false" ht="15" hidden="false" customHeight="true" outlineLevel="0" collapsed="false">
      <c r="A9" s="4" t="s">
        <v>8</v>
      </c>
      <c r="B9" s="4"/>
      <c r="C9" s="4" t="s">
        <v>9</v>
      </c>
      <c r="D9" s="4"/>
      <c r="E9" s="4" t="s">
        <v>10</v>
      </c>
      <c r="F9" s="4"/>
    </row>
    <row r="10" customFormat="false" ht="15" hidden="false" customHeight="true" outlineLevel="0" collapsed="false">
      <c r="A10" s="8" t="n">
        <f aca="false">IFERROR(AVERAGE(03_Lich_Su_Sua_Chua!J5:J1000),"N/A")</f>
        <v>2</v>
      </c>
      <c r="B10" s="8"/>
      <c r="C10" s="5" t="n">
        <f aca="false">IFERROR(COUNTIF(03_Lich_Su_Sua_Chua!K5:K1000,"Có")/COUNTA(03_Lich_Su_Sua_Chua!K5:K1000),"N/A")</f>
        <v>0.666666666666667</v>
      </c>
      <c r="D10" s="5"/>
      <c r="E10" s="6" t="n">
        <f aca="false">COUNTA(03_Lich_Su_Sua_Chua!A5:A1000)</f>
        <v>3</v>
      </c>
      <c r="F10" s="6"/>
    </row>
    <row r="11" customFormat="false" ht="15" hidden="false" customHeight="true" outlineLevel="0" collapsed="false">
      <c r="A11" s="8"/>
      <c r="B11" s="8"/>
      <c r="C11" s="5"/>
      <c r="D11" s="5"/>
      <c r="E11" s="6"/>
      <c r="F11" s="6"/>
    </row>
    <row r="12" customFormat="false" ht="15" hidden="false" customHeight="true" outlineLevel="0" collapsed="false">
      <c r="A12" s="7" t="s">
        <v>11</v>
      </c>
      <c r="B12" s="7"/>
      <c r="C12" s="7" t="s">
        <v>12</v>
      </c>
      <c r="D12" s="7"/>
      <c r="E12" s="7" t="s">
        <v>13</v>
      </c>
      <c r="F12" s="7"/>
    </row>
    <row r="14" customFormat="false" ht="15" hidden="false" customHeight="true" outlineLevel="0" collapsed="false">
      <c r="A14" s="4" t="s">
        <v>14</v>
      </c>
      <c r="B14" s="4"/>
      <c r="C14" s="4" t="s">
        <v>15</v>
      </c>
      <c r="D14" s="4"/>
      <c r="E14" s="4" t="s">
        <v>16</v>
      </c>
      <c r="F14" s="4"/>
    </row>
    <row r="15" customFormat="false" ht="15" hidden="false" customHeight="true" outlineLevel="0" collapsed="false">
      <c r="A15" s="9" t="n">
        <f aca="false">SUM(03_Lich_Su_Sua_Chua!L5:L1000)</f>
        <v>1150000</v>
      </c>
      <c r="B15" s="9"/>
      <c r="C15" s="9" t="n">
        <f aca="false">IFERROR(SUM(03_Lich_Su_Sua_Chua!L5:L1000)/COUNTA(01_Danh_Muc_Tai_San!A5:A1000),"N/A")</f>
        <v>164285.714285714</v>
      </c>
      <c r="D15" s="9"/>
      <c r="E15" s="6" t="n">
        <f aca="false">COUNTA(01_Danh_Muc_Tai_San!A5:A1000)</f>
        <v>7</v>
      </c>
      <c r="F15" s="6"/>
    </row>
    <row r="16" customFormat="false" ht="15" hidden="false" customHeight="true" outlineLevel="0" collapsed="false">
      <c r="A16" s="9"/>
      <c r="B16" s="9"/>
      <c r="C16" s="9"/>
      <c r="D16" s="9"/>
      <c r="E16" s="6"/>
      <c r="F16" s="6"/>
    </row>
    <row r="17" customFormat="false" ht="15" hidden="false" customHeight="true" outlineLevel="0" collapsed="false">
      <c r="A17" s="7" t="s">
        <v>13</v>
      </c>
      <c r="B17" s="7"/>
      <c r="C17" s="7" t="s">
        <v>17</v>
      </c>
      <c r="D17" s="7"/>
      <c r="E17" s="7" t="s">
        <v>18</v>
      </c>
      <c r="F17" s="7"/>
    </row>
    <row r="20" customFormat="false" ht="15" hidden="false" customHeight="true" outlineLevel="0" collapsed="false">
      <c r="A20" s="10" t="s">
        <v>19</v>
      </c>
    </row>
    <row r="21" customFormat="false" ht="15" hidden="false" customHeight="true" outlineLevel="0" collapsed="false">
      <c r="A21" s="11" t="s">
        <v>20</v>
      </c>
      <c r="B21" s="11" t="s">
        <v>21</v>
      </c>
    </row>
    <row r="22" customFormat="false" ht="15" hidden="false" customHeight="true" outlineLevel="0" collapsed="false">
      <c r="A22" s="12" t="s">
        <v>22</v>
      </c>
      <c r="B22" s="12" t="n">
        <f aca="false">COUNTIF(03_Lich_Su_Sua_Chua!F5:F1000,"P1")</f>
        <v>1</v>
      </c>
    </row>
    <row r="23" customFormat="false" ht="15" hidden="false" customHeight="true" outlineLevel="0" collapsed="false">
      <c r="A23" s="12" t="s">
        <v>23</v>
      </c>
      <c r="B23" s="12" t="n">
        <f aca="false">COUNTIF(03_Lich_Su_Sua_Chua!F5:F1000,"P2")</f>
        <v>1</v>
      </c>
    </row>
    <row r="24" customFormat="false" ht="15" hidden="false" customHeight="true" outlineLevel="0" collapsed="false">
      <c r="A24" s="12" t="s">
        <v>24</v>
      </c>
      <c r="B24" s="12" t="n">
        <f aca="false">COUNTIF(03_Lich_Su_Sua_Chua!F5:F1000,"P3")</f>
        <v>1</v>
      </c>
    </row>
    <row r="25" customFormat="false" ht="15" hidden="false" customHeight="true" outlineLevel="0" collapsed="false">
      <c r="A25" s="12" t="s">
        <v>25</v>
      </c>
      <c r="B25" s="12" t="n">
        <f aca="false">COUNTIF(03_Lich_Su_Sua_Chua!F5:F1000,"P4")</f>
        <v>0</v>
      </c>
    </row>
  </sheetData>
  <mergeCells count="27">
    <mergeCell ref="A4:B4"/>
    <mergeCell ref="C4:D4"/>
    <mergeCell ref="E4:F4"/>
    <mergeCell ref="A5:B6"/>
    <mergeCell ref="C5:D6"/>
    <mergeCell ref="E5:F6"/>
    <mergeCell ref="A7:B7"/>
    <mergeCell ref="C7:D7"/>
    <mergeCell ref="E7:F7"/>
    <mergeCell ref="A9:B9"/>
    <mergeCell ref="C9:D9"/>
    <mergeCell ref="E9:F9"/>
    <mergeCell ref="A10:B11"/>
    <mergeCell ref="C10:D11"/>
    <mergeCell ref="E10:F11"/>
    <mergeCell ref="A12:B12"/>
    <mergeCell ref="C12:D12"/>
    <mergeCell ref="E12:F12"/>
    <mergeCell ref="A14:B14"/>
    <mergeCell ref="C14:D14"/>
    <mergeCell ref="E14:F14"/>
    <mergeCell ref="A15:B16"/>
    <mergeCell ref="C15:D16"/>
    <mergeCell ref="E15:F16"/>
    <mergeCell ref="A17:B17"/>
    <mergeCell ref="C17:D17"/>
    <mergeCell ref="E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4"/>
    <col collapsed="false" customWidth="true" hidden="false" outlineLevel="0" max="3" min="3" style="1" width="16"/>
    <col collapsed="false" customWidth="true" hidden="false" outlineLevel="0" max="4" min="4" style="1" width="22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10"/>
    <col collapsed="false" customWidth="true" hidden="false" outlineLevel="0" max="9" min="8" style="1" width="12"/>
    <col collapsed="false" customWidth="true" hidden="false" outlineLevel="0" max="10" min="10" style="1" width="16"/>
    <col collapsed="false" customWidth="true" hidden="false" outlineLevel="0" max="11" min="11" style="1" width="20"/>
    <col collapsed="false" customWidth="true" hidden="false" outlineLevel="0" max="12" min="12" style="1" width="10"/>
    <col collapsed="false" customWidth="true" hidden="false" outlineLevel="0" max="14" min="13" style="1" width="14"/>
    <col collapsed="false" customWidth="true" hidden="false" outlineLevel="0" max="15" min="15" style="1" width="16"/>
  </cols>
  <sheetData>
    <row r="1" customFormat="false" ht="17.25" hidden="false" customHeight="true" outlineLevel="0" collapsed="false">
      <c r="A1" s="13" t="s">
        <v>26</v>
      </c>
    </row>
    <row r="2" customFormat="false" ht="15" hidden="false" customHeight="true" outlineLevel="0" collapsed="false">
      <c r="A2" s="3" t="s">
        <v>27</v>
      </c>
    </row>
    <row r="4" customFormat="false" ht="26.25" hidden="false" customHeight="true" outlineLevel="0" collapsed="false">
      <c r="A4" s="14" t="s">
        <v>28</v>
      </c>
      <c r="B4" s="14" t="s">
        <v>29</v>
      </c>
      <c r="C4" s="14" t="s">
        <v>30</v>
      </c>
      <c r="D4" s="14" t="s">
        <v>31</v>
      </c>
      <c r="E4" s="14" t="s">
        <v>32</v>
      </c>
      <c r="F4" s="14" t="s">
        <v>33</v>
      </c>
      <c r="G4" s="14" t="s">
        <v>34</v>
      </c>
      <c r="H4" s="14" t="s">
        <v>35</v>
      </c>
      <c r="I4" s="14" t="s">
        <v>36</v>
      </c>
      <c r="J4" s="14" t="s">
        <v>37</v>
      </c>
      <c r="K4" s="14" t="s">
        <v>38</v>
      </c>
      <c r="L4" s="14" t="s">
        <v>39</v>
      </c>
      <c r="M4" s="14" t="s">
        <v>40</v>
      </c>
      <c r="N4" s="14" t="s">
        <v>41</v>
      </c>
      <c r="O4" s="14" t="s">
        <v>42</v>
      </c>
    </row>
    <row r="5" customFormat="false" ht="15" hidden="false" customHeight="true" outlineLevel="0" collapsed="false">
      <c r="A5" s="15" t="s">
        <v>43</v>
      </c>
      <c r="B5" s="15" t="s">
        <v>44</v>
      </c>
      <c r="C5" s="15" t="s">
        <v>45</v>
      </c>
      <c r="D5" s="15" t="s">
        <v>46</v>
      </c>
      <c r="E5" s="15" t="s">
        <v>47</v>
      </c>
      <c r="F5" s="15" t="s">
        <v>48</v>
      </c>
      <c r="G5" s="15" t="s">
        <v>49</v>
      </c>
      <c r="H5" s="16" t="s">
        <v>50</v>
      </c>
      <c r="I5" s="16" t="s">
        <v>51</v>
      </c>
      <c r="J5" s="15" t="s">
        <v>52</v>
      </c>
      <c r="K5" s="15" t="s">
        <v>53</v>
      </c>
      <c r="L5" s="15" t="s">
        <v>54</v>
      </c>
      <c r="M5" s="16" t="s">
        <v>55</v>
      </c>
      <c r="N5" s="16" t="n">
        <f aca="false">IF(M5="","",EDATE(M5,6))</f>
        <v>46275</v>
      </c>
      <c r="O5" s="15" t="s">
        <v>56</v>
      </c>
    </row>
    <row r="6" customFormat="false" ht="15" hidden="false" customHeight="true" outlineLevel="0" collapsed="false">
      <c r="A6" s="15" t="s">
        <v>57</v>
      </c>
      <c r="B6" s="15" t="s">
        <v>58</v>
      </c>
      <c r="C6" s="15" t="s">
        <v>59</v>
      </c>
      <c r="D6" s="15" t="s">
        <v>60</v>
      </c>
      <c r="E6" s="15" t="s">
        <v>61</v>
      </c>
      <c r="F6" s="15" t="s">
        <v>62</v>
      </c>
      <c r="G6" s="15" t="s">
        <v>63</v>
      </c>
      <c r="H6" s="16" t="s">
        <v>64</v>
      </c>
      <c r="I6" s="16" t="s">
        <v>65</v>
      </c>
      <c r="J6" s="15" t="s">
        <v>66</v>
      </c>
      <c r="K6" s="15" t="s">
        <v>67</v>
      </c>
      <c r="L6" s="15" t="s">
        <v>68</v>
      </c>
      <c r="M6" s="16" t="s">
        <v>69</v>
      </c>
      <c r="N6" s="16" t="n">
        <f aca="false">IF(M6="","",EDATE(M6,3))</f>
        <v>46270</v>
      </c>
      <c r="O6" s="15" t="s">
        <v>56</v>
      </c>
    </row>
    <row r="7" customFormat="false" ht="15" hidden="false" customHeight="true" outlineLevel="0" collapsed="false">
      <c r="A7" s="15" t="s">
        <v>70</v>
      </c>
      <c r="B7" s="15" t="s">
        <v>71</v>
      </c>
      <c r="C7" s="15" t="s">
        <v>72</v>
      </c>
      <c r="D7" s="15" t="s">
        <v>73</v>
      </c>
      <c r="E7" s="15" t="s">
        <v>74</v>
      </c>
      <c r="F7" s="15" t="s">
        <v>75</v>
      </c>
      <c r="G7" s="15" t="s">
        <v>49</v>
      </c>
      <c r="H7" s="16" t="s">
        <v>76</v>
      </c>
      <c r="I7" s="16" t="s">
        <v>77</v>
      </c>
      <c r="J7" s="15" t="s">
        <v>78</v>
      </c>
      <c r="K7" s="15" t="s">
        <v>79</v>
      </c>
      <c r="L7" s="15" t="s">
        <v>68</v>
      </c>
      <c r="M7" s="16" t="s">
        <v>80</v>
      </c>
      <c r="N7" s="16" t="n">
        <f aca="false">IF(M7="","",EDATE(M7,3))</f>
        <v>46235</v>
      </c>
      <c r="O7" s="15" t="s">
        <v>56</v>
      </c>
    </row>
    <row r="8" customFormat="false" ht="15" hidden="false" customHeight="true" outlineLevel="0" collapsed="false">
      <c r="A8" s="15" t="s">
        <v>81</v>
      </c>
      <c r="B8" s="15" t="s">
        <v>82</v>
      </c>
      <c r="C8" s="15" t="s">
        <v>83</v>
      </c>
      <c r="D8" s="15" t="s">
        <v>84</v>
      </c>
      <c r="E8" s="15" t="s">
        <v>85</v>
      </c>
      <c r="F8" s="15" t="s">
        <v>86</v>
      </c>
      <c r="G8" s="15" t="s">
        <v>87</v>
      </c>
      <c r="H8" s="16" t="s">
        <v>88</v>
      </c>
      <c r="I8" s="16" t="s">
        <v>89</v>
      </c>
      <c r="J8" s="15" t="s">
        <v>52</v>
      </c>
      <c r="K8" s="15" t="s">
        <v>90</v>
      </c>
      <c r="L8" s="15" t="s">
        <v>68</v>
      </c>
      <c r="M8" s="16" t="s">
        <v>91</v>
      </c>
      <c r="N8" s="16" t="n">
        <f aca="false">IF(M8="","",EDATE(M8,3))</f>
        <v>46204</v>
      </c>
      <c r="O8" s="15" t="s">
        <v>56</v>
      </c>
    </row>
    <row r="9" customFormat="false" ht="15" hidden="false" customHeight="true" outlineLevel="0" collapsed="false">
      <c r="A9" s="15" t="s">
        <v>92</v>
      </c>
      <c r="B9" s="15" t="s">
        <v>93</v>
      </c>
      <c r="C9" s="15" t="s">
        <v>94</v>
      </c>
      <c r="D9" s="15" t="s">
        <v>95</v>
      </c>
      <c r="E9" s="15" t="s">
        <v>96</v>
      </c>
      <c r="F9" s="15" t="s">
        <v>86</v>
      </c>
      <c r="G9" s="15" t="s">
        <v>97</v>
      </c>
      <c r="H9" s="16" t="s">
        <v>88</v>
      </c>
      <c r="I9" s="16" t="s">
        <v>89</v>
      </c>
      <c r="J9" s="15" t="s">
        <v>98</v>
      </c>
      <c r="K9" s="15" t="s">
        <v>90</v>
      </c>
      <c r="L9" s="15" t="s">
        <v>68</v>
      </c>
      <c r="M9" s="16" t="s">
        <v>91</v>
      </c>
      <c r="N9" s="16" t="n">
        <f aca="false">IF(M9="","",EDATE(M9,3))</f>
        <v>46204</v>
      </c>
      <c r="O9" s="15" t="s">
        <v>56</v>
      </c>
    </row>
    <row r="10" customFormat="false" ht="15" hidden="false" customHeight="true" outlineLevel="0" collapsed="false">
      <c r="A10" s="15" t="s">
        <v>99</v>
      </c>
      <c r="B10" s="15" t="s">
        <v>100</v>
      </c>
      <c r="C10" s="15" t="s">
        <v>94</v>
      </c>
      <c r="D10" s="15" t="s">
        <v>101</v>
      </c>
      <c r="E10" s="15" t="s">
        <v>102</v>
      </c>
      <c r="F10" s="15" t="s">
        <v>86</v>
      </c>
      <c r="G10" s="15" t="s">
        <v>97</v>
      </c>
      <c r="H10" s="16" t="s">
        <v>88</v>
      </c>
      <c r="I10" s="16" t="s">
        <v>89</v>
      </c>
      <c r="J10" s="15" t="s">
        <v>103</v>
      </c>
      <c r="K10" s="15" t="s">
        <v>90</v>
      </c>
      <c r="L10" s="15" t="s">
        <v>68</v>
      </c>
      <c r="M10" s="16" t="s">
        <v>91</v>
      </c>
      <c r="N10" s="16" t="n">
        <f aca="false">IF(M10="","",EDATE(M10,3))</f>
        <v>46204</v>
      </c>
      <c r="O10" s="15" t="s">
        <v>56</v>
      </c>
    </row>
    <row r="11" customFormat="false" ht="15" hidden="false" customHeight="true" outlineLevel="0" collapsed="false">
      <c r="A11" s="15" t="s">
        <v>104</v>
      </c>
      <c r="B11" s="15" t="s">
        <v>105</v>
      </c>
      <c r="C11" s="15" t="s">
        <v>106</v>
      </c>
      <c r="D11" s="15" t="s">
        <v>107</v>
      </c>
      <c r="E11" s="15" t="s">
        <v>108</v>
      </c>
      <c r="F11" s="15" t="s">
        <v>86</v>
      </c>
      <c r="G11" s="15" t="s">
        <v>109</v>
      </c>
      <c r="H11" s="16" t="s">
        <v>88</v>
      </c>
      <c r="I11" s="16" t="s">
        <v>89</v>
      </c>
      <c r="J11" s="15" t="s">
        <v>110</v>
      </c>
      <c r="K11" s="15" t="s">
        <v>90</v>
      </c>
      <c r="L11" s="15" t="s">
        <v>54</v>
      </c>
      <c r="M11" s="16" t="s">
        <v>111</v>
      </c>
      <c r="N11" s="16" t="n">
        <f aca="false">IF(M11="","",EDATE(M11,6))</f>
        <v>46218</v>
      </c>
      <c r="O11" s="15" t="s">
        <v>56</v>
      </c>
    </row>
  </sheetData>
  <dataValidations count="3">
    <dataValidation allowBlank="true" errorStyle="stop" operator="between" showDropDown="false" showErrorMessage="false" showInputMessage="false" sqref="C5:C500" type="list">
      <formula1>"PC Văn phòng,Kiosk Sản xuất,Máy in,Server,Thiết bị mạng,UPS"</formula1>
      <formula2>0</formula2>
    </dataValidation>
    <dataValidation allowBlank="true" errorStyle="stop" operator="between" showDropDown="false" showErrorMessage="false" showInputMessage="false" sqref="O5:O500" type="list">
      <formula1>"Đang hoạt động,Đang sửa chữa,Đã thanh lý,Chờ bảo hành"</formula1>
      <formula2>0</formula2>
    </dataValidation>
    <dataValidation allowBlank="true" errorStyle="stop" operator="between" showDropDown="false" showErrorMessage="false" showInputMessage="false" sqref="L5:L500" type="list">
      <formula1>"Quý,6 tháng,Hàng tháng,Hàng năm"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4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7" min="5" style="1" width="16"/>
    <col collapsed="false" customWidth="true" hidden="false" outlineLevel="0" max="8" min="8" style="1" width="26"/>
    <col collapsed="false" customWidth="true" hidden="false" outlineLevel="0" max="9" min="9" style="1" width="10"/>
    <col collapsed="false" customWidth="true" hidden="false" outlineLevel="0" max="10" min="10" style="1" width="14"/>
    <col collapsed="false" customWidth="true" hidden="false" outlineLevel="0" max="11" min="11" style="1" width="26"/>
  </cols>
  <sheetData>
    <row r="1" customFormat="false" ht="17.25" hidden="false" customHeight="true" outlineLevel="0" collapsed="false">
      <c r="A1" s="13" t="s">
        <v>112</v>
      </c>
    </row>
    <row r="2" customFormat="false" ht="15" hidden="false" customHeight="true" outlineLevel="0" collapsed="false">
      <c r="A2" s="3" t="s">
        <v>113</v>
      </c>
    </row>
    <row r="4" customFormat="false" ht="26.25" hidden="false" customHeight="true" outlineLevel="0" collapsed="false">
      <c r="A4" s="14" t="s">
        <v>28</v>
      </c>
      <c r="B4" s="14" t="s">
        <v>29</v>
      </c>
      <c r="C4" s="14" t="s">
        <v>30</v>
      </c>
      <c r="D4" s="14" t="s">
        <v>39</v>
      </c>
      <c r="E4" s="14" t="s">
        <v>114</v>
      </c>
      <c r="F4" s="14" t="s">
        <v>115</v>
      </c>
      <c r="G4" s="14" t="s">
        <v>116</v>
      </c>
      <c r="H4" s="14" t="s">
        <v>117</v>
      </c>
      <c r="I4" s="14" t="s">
        <v>118</v>
      </c>
      <c r="J4" s="14" t="s">
        <v>119</v>
      </c>
      <c r="K4" s="14" t="s">
        <v>120</v>
      </c>
    </row>
    <row r="5" customFormat="false" ht="15" hidden="false" customHeight="true" outlineLevel="0" collapsed="false">
      <c r="A5" s="15" t="s">
        <v>43</v>
      </c>
      <c r="B5" s="15" t="s">
        <v>44</v>
      </c>
      <c r="C5" s="15" t="s">
        <v>45</v>
      </c>
      <c r="D5" s="15" t="s">
        <v>54</v>
      </c>
      <c r="E5" s="16" t="s">
        <v>55</v>
      </c>
      <c r="F5" s="16" t="s">
        <v>55</v>
      </c>
      <c r="G5" s="15" t="s">
        <v>90</v>
      </c>
      <c r="H5" s="15" t="s">
        <v>121</v>
      </c>
      <c r="I5" s="15" t="s">
        <v>122</v>
      </c>
      <c r="J5" s="15" t="str">
        <f aca="false">IF(F5="","Chưa PM",IF(F5&lt;=E5,"Đúng hạn","Trễ hạn"))</f>
        <v>Đúng hạn</v>
      </c>
      <c r="K5" s="15"/>
    </row>
    <row r="6" customFormat="false" ht="23.25" hidden="false" customHeight="true" outlineLevel="0" collapsed="false">
      <c r="A6" s="15" t="s">
        <v>57</v>
      </c>
      <c r="B6" s="15" t="s">
        <v>58</v>
      </c>
      <c r="C6" s="15" t="s">
        <v>59</v>
      </c>
      <c r="D6" s="15" t="s">
        <v>68</v>
      </c>
      <c r="E6" s="16" t="s">
        <v>123</v>
      </c>
      <c r="F6" s="16" t="s">
        <v>123</v>
      </c>
      <c r="G6" s="15" t="s">
        <v>90</v>
      </c>
      <c r="H6" s="15" t="s">
        <v>121</v>
      </c>
      <c r="I6" s="15" t="s">
        <v>122</v>
      </c>
      <c r="J6" s="15" t="str">
        <f aca="false">IF(F6="","Chưa PM",IF(F6&lt;=E6,"Đúng hạn","Trễ hạn"))</f>
        <v>Đúng hạn</v>
      </c>
      <c r="K6" s="15" t="s">
        <v>124</v>
      </c>
    </row>
    <row r="7" customFormat="false" ht="15" hidden="false" customHeight="true" outlineLevel="0" collapsed="false">
      <c r="A7" s="15" t="s">
        <v>70</v>
      </c>
      <c r="B7" s="15" t="s">
        <v>71</v>
      </c>
      <c r="C7" s="15" t="s">
        <v>72</v>
      </c>
      <c r="D7" s="15" t="s">
        <v>68</v>
      </c>
      <c r="E7" s="16" t="s">
        <v>125</v>
      </c>
      <c r="F7" s="16" t="s">
        <v>126</v>
      </c>
      <c r="G7" s="15" t="s">
        <v>90</v>
      </c>
      <c r="H7" s="15" t="s">
        <v>127</v>
      </c>
      <c r="I7" s="15" t="s">
        <v>122</v>
      </c>
      <c r="J7" s="15" t="str">
        <f aca="false">IF(F7="","Chưa PM",IF(F7&lt;=E7,"Đúng hạn","Trễ hạn"))</f>
        <v>Trễ hạn</v>
      </c>
      <c r="K7" s="15" t="s">
        <v>128</v>
      </c>
    </row>
    <row r="8" customFormat="false" ht="23.25" hidden="false" customHeight="true" outlineLevel="0" collapsed="false">
      <c r="A8" s="15" t="s">
        <v>81</v>
      </c>
      <c r="B8" s="15" t="s">
        <v>82</v>
      </c>
      <c r="C8" s="15" t="s">
        <v>83</v>
      </c>
      <c r="D8" s="15" t="s">
        <v>68</v>
      </c>
      <c r="E8" s="16" t="s">
        <v>111</v>
      </c>
      <c r="F8" s="16" t="s">
        <v>111</v>
      </c>
      <c r="G8" s="15" t="s">
        <v>90</v>
      </c>
      <c r="H8" s="15" t="s">
        <v>129</v>
      </c>
      <c r="I8" s="15" t="s">
        <v>122</v>
      </c>
      <c r="J8" s="15" t="str">
        <f aca="false">IF(F8="","Chưa PM",IF(F8&lt;=E8,"Đúng hạn","Trễ hạn"))</f>
        <v>Đúng hạn</v>
      </c>
      <c r="K8" s="15"/>
    </row>
    <row r="9" customFormat="false" ht="23.25" hidden="false" customHeight="true" outlineLevel="0" collapsed="false">
      <c r="A9" s="15" t="s">
        <v>92</v>
      </c>
      <c r="B9" s="15" t="s">
        <v>93</v>
      </c>
      <c r="C9" s="15" t="s">
        <v>94</v>
      </c>
      <c r="D9" s="15" t="s">
        <v>68</v>
      </c>
      <c r="E9" s="16" t="s">
        <v>111</v>
      </c>
      <c r="F9" s="16" t="s">
        <v>111</v>
      </c>
      <c r="G9" s="15" t="s">
        <v>90</v>
      </c>
      <c r="H9" s="15" t="s">
        <v>129</v>
      </c>
      <c r="I9" s="15" t="s">
        <v>122</v>
      </c>
      <c r="J9" s="15" t="str">
        <f aca="false">IF(F9="","Chưa PM",IF(F9&lt;=E9,"Đúng hạn","Trễ hạn"))</f>
        <v>Đúng hạn</v>
      </c>
      <c r="K9" s="15"/>
    </row>
    <row r="10" customFormat="false" ht="23.25" hidden="false" customHeight="true" outlineLevel="0" collapsed="false">
      <c r="A10" s="15" t="s">
        <v>99</v>
      </c>
      <c r="B10" s="15" t="s">
        <v>100</v>
      </c>
      <c r="C10" s="15" t="s">
        <v>94</v>
      </c>
      <c r="D10" s="15" t="s">
        <v>68</v>
      </c>
      <c r="E10" s="16" t="s">
        <v>111</v>
      </c>
      <c r="F10" s="16"/>
      <c r="G10" s="15"/>
      <c r="H10" s="15" t="s">
        <v>129</v>
      </c>
      <c r="I10" s="15"/>
      <c r="J10" s="15" t="str">
        <f aca="false">IF(F10="","Chưa PM",IF(F10&lt;=E10,"Đúng hạn","Trễ hạn"))</f>
        <v>Chưa PM</v>
      </c>
      <c r="K10" s="15" t="s">
        <v>130</v>
      </c>
    </row>
    <row r="11" customFormat="false" ht="23.25" hidden="false" customHeight="true" outlineLevel="0" collapsed="false">
      <c r="A11" s="15" t="s">
        <v>104</v>
      </c>
      <c r="B11" s="15" t="s">
        <v>105</v>
      </c>
      <c r="C11" s="15" t="s">
        <v>106</v>
      </c>
      <c r="D11" s="15" t="s">
        <v>54</v>
      </c>
      <c r="E11" s="16" t="s">
        <v>111</v>
      </c>
      <c r="F11" s="16"/>
      <c r="G11" s="15"/>
      <c r="H11" s="15" t="s">
        <v>129</v>
      </c>
      <c r="I11" s="15"/>
      <c r="J11" s="15" t="str">
        <f aca="false">IF(F11="","Chưa PM",IF(F11&lt;=E11,"Đúng hạn","Trễ hạn"))</f>
        <v>Chưa PM</v>
      </c>
      <c r="K11" s="15" t="s">
        <v>130</v>
      </c>
    </row>
  </sheetData>
  <conditionalFormatting sqref="J5:J11">
    <cfRule type="expression" priority="2" aboveAverage="0" equalAverage="0" bottom="0" percent="0" rank="0" text="" dxfId="0">
      <formula>J5="Trễ hạn"</formula>
    </cfRule>
    <cfRule type="expression" priority="3" aboveAverage="0" equalAverage="0" bottom="0" percent="0" rank="0" text="" dxfId="1">
      <formula>J5="Đúng hạn"</formula>
    </cfRule>
    <cfRule type="expression" priority="4" aboveAverage="0" equalAverage="0" bottom="0" percent="0" rank="0" text="" dxfId="2">
      <formula>J5="Chưa PM"</formula>
    </cfRule>
  </conditionalFormatting>
  <dataValidations count="1">
    <dataValidation allowBlank="true" errorStyle="stop" operator="between" showDropDown="false" showErrorMessage="false" showInputMessage="false" sqref="I5:I500" type="list">
      <formula1>"Đạt,Có vấn đề,Chưa PM"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5" min="4" style="1" width="14"/>
    <col collapsed="false" customWidth="true" hidden="false" outlineLevel="0" max="6" min="6" style="1" width="12"/>
    <col collapsed="false" customWidth="true" hidden="false" outlineLevel="0" max="9" min="7" style="1" width="26"/>
    <col collapsed="false" customWidth="true" hidden="false" outlineLevel="0" max="10" min="10" style="1" width="14"/>
    <col collapsed="false" customWidth="true" hidden="false" outlineLevel="0" max="11" min="11" style="1" width="18"/>
    <col collapsed="false" customWidth="true" hidden="false" outlineLevel="0" max="13" min="12" style="1" width="14"/>
  </cols>
  <sheetData>
    <row r="1" customFormat="false" ht="17.25" hidden="false" customHeight="true" outlineLevel="0" collapsed="false">
      <c r="A1" s="13" t="s">
        <v>131</v>
      </c>
    </row>
    <row r="2" customFormat="false" ht="15" hidden="false" customHeight="true" outlineLevel="0" collapsed="false">
      <c r="A2" s="3" t="s">
        <v>132</v>
      </c>
    </row>
    <row r="4" customFormat="false" ht="26.25" hidden="false" customHeight="true" outlineLevel="0" collapsed="false">
      <c r="A4" s="14" t="s">
        <v>133</v>
      </c>
      <c r="B4" s="14" t="s">
        <v>28</v>
      </c>
      <c r="C4" s="14" t="s">
        <v>29</v>
      </c>
      <c r="D4" s="14" t="s">
        <v>134</v>
      </c>
      <c r="E4" s="14" t="s">
        <v>135</v>
      </c>
      <c r="F4" s="14" t="s">
        <v>136</v>
      </c>
      <c r="G4" s="14" t="s">
        <v>137</v>
      </c>
      <c r="H4" s="14" t="s">
        <v>138</v>
      </c>
      <c r="I4" s="14" t="s">
        <v>139</v>
      </c>
      <c r="J4" s="14" t="s">
        <v>140</v>
      </c>
      <c r="K4" s="14" t="s">
        <v>141</v>
      </c>
      <c r="L4" s="14" t="s">
        <v>142</v>
      </c>
      <c r="M4" s="14" t="s">
        <v>143</v>
      </c>
    </row>
    <row r="5" customFormat="false" ht="23.25" hidden="false" customHeight="true" outlineLevel="0" collapsed="false">
      <c r="A5" s="15" t="s">
        <v>144</v>
      </c>
      <c r="B5" s="15" t="s">
        <v>70</v>
      </c>
      <c r="C5" s="15" t="s">
        <v>71</v>
      </c>
      <c r="D5" s="16" t="s">
        <v>125</v>
      </c>
      <c r="E5" s="16" t="s">
        <v>125</v>
      </c>
      <c r="F5" s="15" t="s">
        <v>24</v>
      </c>
      <c r="G5" s="15" t="s">
        <v>145</v>
      </c>
      <c r="H5" s="15" t="s">
        <v>146</v>
      </c>
      <c r="I5" s="15" t="s">
        <v>147</v>
      </c>
      <c r="J5" s="15" t="n">
        <v>2</v>
      </c>
      <c r="K5" s="15" t="s">
        <v>148</v>
      </c>
      <c r="L5" s="17" t="n">
        <v>350000</v>
      </c>
      <c r="M5" s="15" t="s">
        <v>90</v>
      </c>
    </row>
    <row r="6" customFormat="false" ht="23.25" hidden="false" customHeight="true" outlineLevel="0" collapsed="false">
      <c r="A6" s="15" t="s">
        <v>149</v>
      </c>
      <c r="B6" s="15" t="s">
        <v>57</v>
      </c>
      <c r="C6" s="15" t="s">
        <v>58</v>
      </c>
      <c r="D6" s="16" t="s">
        <v>55</v>
      </c>
      <c r="E6" s="16" t="s">
        <v>55</v>
      </c>
      <c r="F6" s="15" t="s">
        <v>22</v>
      </c>
      <c r="G6" s="15" t="s">
        <v>150</v>
      </c>
      <c r="H6" s="15" t="s">
        <v>151</v>
      </c>
      <c r="I6" s="15" t="s">
        <v>152</v>
      </c>
      <c r="J6" s="15" t="n">
        <v>1</v>
      </c>
      <c r="K6" s="15" t="s">
        <v>148</v>
      </c>
      <c r="L6" s="17" t="n">
        <v>800000</v>
      </c>
      <c r="M6" s="15" t="s">
        <v>90</v>
      </c>
    </row>
    <row r="7" customFormat="false" ht="23.25" hidden="false" customHeight="true" outlineLevel="0" collapsed="false">
      <c r="A7" s="15" t="s">
        <v>153</v>
      </c>
      <c r="B7" s="15" t="s">
        <v>92</v>
      </c>
      <c r="C7" s="15" t="s">
        <v>93</v>
      </c>
      <c r="D7" s="16" t="s">
        <v>154</v>
      </c>
      <c r="E7" s="16" t="s">
        <v>155</v>
      </c>
      <c r="F7" s="15" t="s">
        <v>23</v>
      </c>
      <c r="G7" s="15" t="s">
        <v>156</v>
      </c>
      <c r="H7" s="15" t="s">
        <v>157</v>
      </c>
      <c r="I7" s="15" t="s">
        <v>158</v>
      </c>
      <c r="J7" s="15" t="n">
        <v>3</v>
      </c>
      <c r="K7" s="15" t="s">
        <v>159</v>
      </c>
      <c r="L7" s="17" t="n">
        <v>0</v>
      </c>
      <c r="M7" s="15" t="s">
        <v>90</v>
      </c>
    </row>
  </sheetData>
  <dataValidations count="2">
    <dataValidation allowBlank="true" errorStyle="stop" operator="between" showDropDown="false" showErrorMessage="false" showInputMessage="false" sqref="F5:F1000" type="list">
      <formula1>"P1,P2,P3,P4"</formula1>
      <formula2>0</formula2>
    </dataValidation>
    <dataValidation allowBlank="true" errorStyle="stop" operator="between" showDropDown="false" showErrorMessage="false" showInputMessage="false" sqref="K5:K1000" type="list">
      <formula1>"Có,Không"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5.51"/>
    <col collapsed="false" customWidth="true" hidden="false" outlineLevel="0" max="8" min="8" style="0" width="2.5"/>
    <col collapsed="false" customWidth="true" hidden="false" outlineLevel="0" max="15" min="9" style="0" width="5.51"/>
    <col collapsed="false" customWidth="true" hidden="false" outlineLevel="0" max="16" min="16" style="0" width="2.5"/>
    <col collapsed="false" customWidth="true" hidden="false" outlineLevel="0" max="23" min="17" style="0" width="5.51"/>
    <col collapsed="false" customWidth="true" hidden="false" outlineLevel="0" max="24" min="24" style="0" width="2.5"/>
  </cols>
  <sheetData>
    <row r="1" customFormat="false" ht="19.7" hidden="false" customHeight="false" outlineLevel="0" collapsed="false">
      <c r="A1" s="18" t="s">
        <v>160</v>
      </c>
    </row>
    <row r="2" customFormat="false" ht="15" hidden="false" customHeight="false" outlineLevel="0" collapsed="false">
      <c r="A2" s="19" t="s">
        <v>161</v>
      </c>
    </row>
    <row r="4" customFormat="false" ht="15" hidden="false" customHeight="false" outlineLevel="0" collapsed="false">
      <c r="A4" s="20" t="s">
        <v>162</v>
      </c>
      <c r="B4" s="21"/>
      <c r="C4" s="22" t="s">
        <v>163</v>
      </c>
      <c r="E4" s="23"/>
      <c r="F4" s="22" t="s">
        <v>164</v>
      </c>
    </row>
    <row r="6" customFormat="false" ht="15" hidden="false" customHeight="false" outlineLevel="0" collapsed="false">
      <c r="A6" s="24" t="s">
        <v>165</v>
      </c>
      <c r="B6" s="24"/>
      <c r="C6" s="24"/>
      <c r="D6" s="24"/>
      <c r="E6" s="24"/>
      <c r="F6" s="24"/>
      <c r="G6" s="24"/>
      <c r="I6" s="24" t="s">
        <v>166</v>
      </c>
      <c r="J6" s="24"/>
      <c r="K6" s="24"/>
      <c r="L6" s="24"/>
      <c r="M6" s="24"/>
      <c r="N6" s="24"/>
      <c r="O6" s="24"/>
      <c r="Q6" s="24" t="s">
        <v>167</v>
      </c>
      <c r="R6" s="24"/>
      <c r="S6" s="24"/>
      <c r="T6" s="24"/>
      <c r="U6" s="24"/>
      <c r="V6" s="24"/>
      <c r="W6" s="24"/>
    </row>
    <row r="7" customFormat="false" ht="15" hidden="false" customHeight="false" outlineLevel="0" collapsed="false">
      <c r="A7" s="25" t="s">
        <v>168</v>
      </c>
      <c r="B7" s="25" t="s">
        <v>169</v>
      </c>
      <c r="C7" s="25" t="s">
        <v>170</v>
      </c>
      <c r="D7" s="25" t="s">
        <v>171</v>
      </c>
      <c r="E7" s="25" t="s">
        <v>172</v>
      </c>
      <c r="F7" s="25" t="s">
        <v>173</v>
      </c>
      <c r="G7" s="25" t="s">
        <v>174</v>
      </c>
      <c r="I7" s="25" t="s">
        <v>168</v>
      </c>
      <c r="J7" s="25" t="s">
        <v>169</v>
      </c>
      <c r="K7" s="25" t="s">
        <v>170</v>
      </c>
      <c r="L7" s="25" t="s">
        <v>171</v>
      </c>
      <c r="M7" s="25" t="s">
        <v>172</v>
      </c>
      <c r="N7" s="25" t="s">
        <v>173</v>
      </c>
      <c r="O7" s="25" t="s">
        <v>174</v>
      </c>
      <c r="Q7" s="25" t="s">
        <v>168</v>
      </c>
      <c r="R7" s="25" t="s">
        <v>169</v>
      </c>
      <c r="S7" s="25" t="s">
        <v>170</v>
      </c>
      <c r="T7" s="25" t="s">
        <v>171</v>
      </c>
      <c r="U7" s="25" t="s">
        <v>172</v>
      </c>
      <c r="V7" s="25" t="s">
        <v>173</v>
      </c>
      <c r="W7" s="25" t="s">
        <v>174</v>
      </c>
    </row>
    <row r="8" customFormat="false" ht="15" hidden="false" customHeight="false" outlineLevel="0" collapsed="false">
      <c r="A8" s="26"/>
      <c r="B8" s="26"/>
      <c r="C8" s="26"/>
      <c r="D8" s="27" t="n">
        <v>1</v>
      </c>
      <c r="E8" s="27" t="n">
        <v>2</v>
      </c>
      <c r="F8" s="28" t="n">
        <v>3</v>
      </c>
      <c r="G8" s="28" t="n">
        <v>4</v>
      </c>
      <c r="I8" s="26"/>
      <c r="J8" s="26"/>
      <c r="K8" s="26"/>
      <c r="L8" s="26"/>
      <c r="M8" s="26"/>
      <c r="N8" s="26"/>
      <c r="O8" s="28" t="n">
        <v>1</v>
      </c>
      <c r="Q8" s="26"/>
      <c r="R8" s="26"/>
      <c r="S8" s="26"/>
      <c r="T8" s="26"/>
      <c r="U8" s="26"/>
      <c r="V8" s="26"/>
      <c r="W8" s="28" t="n">
        <v>1</v>
      </c>
    </row>
    <row r="9" customFormat="false" ht="15" hidden="false" customHeight="false" outlineLevel="0" collapsed="false">
      <c r="A9" s="27" t="n">
        <v>5</v>
      </c>
      <c r="B9" s="27" t="n">
        <v>6</v>
      </c>
      <c r="C9" s="27" t="n">
        <v>7</v>
      </c>
      <c r="D9" s="27" t="n">
        <v>8</v>
      </c>
      <c r="E9" s="27" t="n">
        <v>9</v>
      </c>
      <c r="F9" s="28" t="n">
        <v>10</v>
      </c>
      <c r="G9" s="28" t="n">
        <v>11</v>
      </c>
      <c r="I9" s="27" t="n">
        <v>2</v>
      </c>
      <c r="J9" s="27" t="n">
        <v>3</v>
      </c>
      <c r="K9" s="27" t="n">
        <v>4</v>
      </c>
      <c r="L9" s="27" t="n">
        <v>5</v>
      </c>
      <c r="M9" s="27" t="n">
        <v>6</v>
      </c>
      <c r="N9" s="28" t="n">
        <v>7</v>
      </c>
      <c r="O9" s="28" t="n">
        <v>8</v>
      </c>
      <c r="Q9" s="27" t="n">
        <v>2</v>
      </c>
      <c r="R9" s="27" t="n">
        <v>3</v>
      </c>
      <c r="S9" s="27" t="n">
        <v>4</v>
      </c>
      <c r="T9" s="27" t="n">
        <v>5</v>
      </c>
      <c r="U9" s="27" t="n">
        <v>6</v>
      </c>
      <c r="V9" s="28" t="n">
        <v>7</v>
      </c>
      <c r="W9" s="28" t="n">
        <v>8</v>
      </c>
    </row>
    <row r="10" customFormat="false" ht="15" hidden="false" customHeight="false" outlineLevel="0" collapsed="false">
      <c r="A10" s="27" t="n">
        <v>12</v>
      </c>
      <c r="B10" s="27" t="n">
        <v>13</v>
      </c>
      <c r="C10" s="27" t="n">
        <v>14</v>
      </c>
      <c r="D10" s="27" t="n">
        <v>15</v>
      </c>
      <c r="E10" s="27" t="n">
        <v>16</v>
      </c>
      <c r="F10" s="28" t="n">
        <v>17</v>
      </c>
      <c r="G10" s="28" t="n">
        <v>18</v>
      </c>
      <c r="I10" s="27" t="n">
        <v>9</v>
      </c>
      <c r="J10" s="27" t="n">
        <v>10</v>
      </c>
      <c r="K10" s="27" t="n">
        <v>11</v>
      </c>
      <c r="L10" s="27" t="n">
        <v>12</v>
      </c>
      <c r="M10" s="27" t="n">
        <v>13</v>
      </c>
      <c r="N10" s="28" t="n">
        <v>14</v>
      </c>
      <c r="O10" s="28" t="n">
        <v>15</v>
      </c>
      <c r="Q10" s="27" t="n">
        <v>9</v>
      </c>
      <c r="R10" s="27" t="n">
        <v>10</v>
      </c>
      <c r="S10" s="27" t="n">
        <v>11</v>
      </c>
      <c r="T10" s="27" t="n">
        <v>12</v>
      </c>
      <c r="U10" s="27" t="n">
        <v>13</v>
      </c>
      <c r="V10" s="28" t="n">
        <v>14</v>
      </c>
      <c r="W10" s="28" t="n">
        <v>15</v>
      </c>
    </row>
    <row r="11" customFormat="false" ht="15" hidden="false" customHeight="false" outlineLevel="0" collapsed="false">
      <c r="A11" s="27" t="n">
        <v>19</v>
      </c>
      <c r="B11" s="27" t="n">
        <v>20</v>
      </c>
      <c r="C11" s="27" t="n">
        <v>21</v>
      </c>
      <c r="D11" s="27" t="n">
        <v>22</v>
      </c>
      <c r="E11" s="27" t="n">
        <v>23</v>
      </c>
      <c r="F11" s="28" t="n">
        <v>24</v>
      </c>
      <c r="G11" s="28" t="n">
        <v>25</v>
      </c>
      <c r="I11" s="27" t="n">
        <v>16</v>
      </c>
      <c r="J11" s="27" t="n">
        <v>17</v>
      </c>
      <c r="K11" s="27" t="n">
        <v>18</v>
      </c>
      <c r="L11" s="27" t="n">
        <v>19</v>
      </c>
      <c r="M11" s="27" t="n">
        <v>20</v>
      </c>
      <c r="N11" s="28" t="n">
        <v>21</v>
      </c>
      <c r="O11" s="28" t="n">
        <v>22</v>
      </c>
      <c r="Q11" s="27" t="n">
        <v>16</v>
      </c>
      <c r="R11" s="27" t="n">
        <v>17</v>
      </c>
      <c r="S11" s="27" t="n">
        <v>18</v>
      </c>
      <c r="T11" s="27" t="n">
        <v>19</v>
      </c>
      <c r="U11" s="27" t="n">
        <v>20</v>
      </c>
      <c r="V11" s="28" t="n">
        <v>21</v>
      </c>
      <c r="W11" s="28" t="n">
        <v>22</v>
      </c>
    </row>
    <row r="12" customFormat="false" ht="15" hidden="false" customHeight="false" outlineLevel="0" collapsed="false">
      <c r="A12" s="27" t="n">
        <v>26</v>
      </c>
      <c r="B12" s="27" t="n">
        <v>27</v>
      </c>
      <c r="C12" s="27" t="n">
        <v>28</v>
      </c>
      <c r="D12" s="27" t="n">
        <v>29</v>
      </c>
      <c r="E12" s="27" t="n">
        <v>30</v>
      </c>
      <c r="F12" s="28" t="n">
        <v>31</v>
      </c>
      <c r="G12" s="26"/>
      <c r="I12" s="27" t="n">
        <v>23</v>
      </c>
      <c r="J12" s="27" t="n">
        <v>24</v>
      </c>
      <c r="K12" s="27" t="n">
        <v>25</v>
      </c>
      <c r="L12" s="27" t="n">
        <v>26</v>
      </c>
      <c r="M12" s="27" t="n">
        <v>27</v>
      </c>
      <c r="N12" s="28" t="n">
        <v>28</v>
      </c>
      <c r="O12" s="26"/>
      <c r="Q12" s="27" t="n">
        <v>23</v>
      </c>
      <c r="R12" s="27" t="n">
        <v>24</v>
      </c>
      <c r="S12" s="27" t="n">
        <v>25</v>
      </c>
      <c r="T12" s="27" t="n">
        <v>26</v>
      </c>
      <c r="U12" s="27" t="n">
        <v>27</v>
      </c>
      <c r="V12" s="28" t="n">
        <v>28</v>
      </c>
      <c r="W12" s="28" t="n">
        <v>29</v>
      </c>
    </row>
    <row r="13" customFormat="false" ht="15" hidden="false" customHeight="false" outlineLevel="0" collapsed="false">
      <c r="A13" s="29"/>
      <c r="B13" s="29"/>
      <c r="C13" s="29"/>
      <c r="D13" s="29"/>
      <c r="E13" s="29"/>
      <c r="F13" s="29"/>
      <c r="G13" s="29"/>
      <c r="I13" s="29"/>
      <c r="J13" s="29"/>
      <c r="K13" s="29"/>
      <c r="L13" s="29"/>
      <c r="M13" s="29"/>
      <c r="N13" s="29"/>
      <c r="O13" s="29"/>
      <c r="Q13" s="27" t="n">
        <v>30</v>
      </c>
      <c r="R13" s="27" t="n">
        <v>31</v>
      </c>
      <c r="S13" s="26"/>
      <c r="T13" s="26"/>
      <c r="U13" s="26"/>
      <c r="V13" s="26"/>
      <c r="W13" s="26"/>
    </row>
    <row r="15" customFormat="false" ht="15" hidden="false" customHeight="false" outlineLevel="0" collapsed="false">
      <c r="A15" s="24" t="s">
        <v>175</v>
      </c>
      <c r="B15" s="24"/>
      <c r="C15" s="24"/>
      <c r="D15" s="24"/>
      <c r="E15" s="24"/>
      <c r="F15" s="24"/>
      <c r="G15" s="24"/>
      <c r="I15" s="24" t="s">
        <v>176</v>
      </c>
      <c r="J15" s="24"/>
      <c r="K15" s="24"/>
      <c r="L15" s="24"/>
      <c r="M15" s="24"/>
      <c r="N15" s="24"/>
      <c r="O15" s="24"/>
      <c r="Q15" s="24" t="s">
        <v>177</v>
      </c>
      <c r="R15" s="24"/>
      <c r="S15" s="24"/>
      <c r="T15" s="24"/>
      <c r="U15" s="24"/>
      <c r="V15" s="24"/>
      <c r="W15" s="24"/>
    </row>
    <row r="16" customFormat="false" ht="15" hidden="false" customHeight="false" outlineLevel="0" collapsed="false">
      <c r="A16" s="25" t="s">
        <v>168</v>
      </c>
      <c r="B16" s="25" t="s">
        <v>169</v>
      </c>
      <c r="C16" s="25" t="s">
        <v>170</v>
      </c>
      <c r="D16" s="25" t="s">
        <v>171</v>
      </c>
      <c r="E16" s="25" t="s">
        <v>172</v>
      </c>
      <c r="F16" s="25" t="s">
        <v>173</v>
      </c>
      <c r="G16" s="25" t="s">
        <v>174</v>
      </c>
      <c r="I16" s="25" t="s">
        <v>168</v>
      </c>
      <c r="J16" s="25" t="s">
        <v>169</v>
      </c>
      <c r="K16" s="25" t="s">
        <v>170</v>
      </c>
      <c r="L16" s="25" t="s">
        <v>171</v>
      </c>
      <c r="M16" s="25" t="s">
        <v>172</v>
      </c>
      <c r="N16" s="25" t="s">
        <v>173</v>
      </c>
      <c r="O16" s="25" t="s">
        <v>174</v>
      </c>
      <c r="Q16" s="25" t="s">
        <v>168</v>
      </c>
      <c r="R16" s="25" t="s">
        <v>169</v>
      </c>
      <c r="S16" s="25" t="s">
        <v>170</v>
      </c>
      <c r="T16" s="25" t="s">
        <v>171</v>
      </c>
      <c r="U16" s="25" t="s">
        <v>172</v>
      </c>
      <c r="V16" s="25" t="s">
        <v>173</v>
      </c>
      <c r="W16" s="25" t="s">
        <v>174</v>
      </c>
    </row>
    <row r="17" customFormat="false" ht="15" hidden="false" customHeight="false" outlineLevel="0" collapsed="false">
      <c r="A17" s="26"/>
      <c r="B17" s="26"/>
      <c r="C17" s="27" t="n">
        <v>1</v>
      </c>
      <c r="D17" s="27" t="n">
        <v>2</v>
      </c>
      <c r="E17" s="27" t="n">
        <v>3</v>
      </c>
      <c r="F17" s="28" t="n">
        <v>4</v>
      </c>
      <c r="G17" s="28" t="n">
        <v>5</v>
      </c>
      <c r="I17" s="26"/>
      <c r="J17" s="26"/>
      <c r="K17" s="26"/>
      <c r="L17" s="26"/>
      <c r="M17" s="27" t="n">
        <v>1</v>
      </c>
      <c r="N17" s="28" t="n">
        <v>2</v>
      </c>
      <c r="O17" s="28" t="n">
        <v>3</v>
      </c>
      <c r="Q17" s="27" t="n">
        <v>1</v>
      </c>
      <c r="R17" s="27" t="n">
        <v>2</v>
      </c>
      <c r="S17" s="27" t="n">
        <v>3</v>
      </c>
      <c r="T17" s="27" t="n">
        <v>4</v>
      </c>
      <c r="U17" s="27" t="n">
        <v>5</v>
      </c>
      <c r="V17" s="28" t="n">
        <v>6</v>
      </c>
      <c r="W17" s="28" t="n">
        <v>7</v>
      </c>
    </row>
    <row r="18" customFormat="false" ht="15" hidden="false" customHeight="false" outlineLevel="0" collapsed="false">
      <c r="A18" s="27" t="n">
        <v>6</v>
      </c>
      <c r="B18" s="27" t="n">
        <v>7</v>
      </c>
      <c r="C18" s="27" t="n">
        <v>8</v>
      </c>
      <c r="D18" s="27" t="n">
        <v>9</v>
      </c>
      <c r="E18" s="27" t="n">
        <v>10</v>
      </c>
      <c r="F18" s="28" t="n">
        <v>11</v>
      </c>
      <c r="G18" s="28" t="n">
        <v>12</v>
      </c>
      <c r="I18" s="27" t="n">
        <v>4</v>
      </c>
      <c r="J18" s="27" t="n">
        <v>5</v>
      </c>
      <c r="K18" s="27" t="n">
        <v>6</v>
      </c>
      <c r="L18" s="27" t="n">
        <v>7</v>
      </c>
      <c r="M18" s="27" t="n">
        <v>8</v>
      </c>
      <c r="N18" s="28" t="n">
        <v>9</v>
      </c>
      <c r="O18" s="28" t="n">
        <v>10</v>
      </c>
      <c r="Q18" s="27" t="n">
        <v>8</v>
      </c>
      <c r="R18" s="27" t="n">
        <v>9</v>
      </c>
      <c r="S18" s="27" t="n">
        <v>10</v>
      </c>
      <c r="T18" s="27" t="n">
        <v>11</v>
      </c>
      <c r="U18" s="27" t="n">
        <v>12</v>
      </c>
      <c r="V18" s="28" t="n">
        <v>13</v>
      </c>
      <c r="W18" s="28" t="n">
        <v>14</v>
      </c>
    </row>
    <row r="19" customFormat="false" ht="15" hidden="false" customHeight="false" outlineLevel="0" collapsed="false">
      <c r="A19" s="27" t="n">
        <v>13</v>
      </c>
      <c r="B19" s="27" t="n">
        <v>14</v>
      </c>
      <c r="C19" s="27" t="n">
        <v>15</v>
      </c>
      <c r="D19" s="27" t="n">
        <v>16</v>
      </c>
      <c r="E19" s="27" t="n">
        <v>17</v>
      </c>
      <c r="F19" s="28" t="n">
        <v>18</v>
      </c>
      <c r="G19" s="28" t="n">
        <v>19</v>
      </c>
      <c r="I19" s="27" t="n">
        <v>11</v>
      </c>
      <c r="J19" s="27" t="n">
        <v>12</v>
      </c>
      <c r="K19" s="27" t="n">
        <v>13</v>
      </c>
      <c r="L19" s="27" t="n">
        <v>14</v>
      </c>
      <c r="M19" s="27" t="n">
        <v>15</v>
      </c>
      <c r="N19" s="28" t="n">
        <v>16</v>
      </c>
      <c r="O19" s="28" t="n">
        <v>17</v>
      </c>
      <c r="Q19" s="27" t="n">
        <v>15</v>
      </c>
      <c r="R19" s="27" t="n">
        <v>16</v>
      </c>
      <c r="S19" s="27" t="n">
        <v>17</v>
      </c>
      <c r="T19" s="27" t="n">
        <v>18</v>
      </c>
      <c r="U19" s="27" t="n">
        <v>19</v>
      </c>
      <c r="V19" s="28" t="n">
        <v>20</v>
      </c>
      <c r="W19" s="28" t="n">
        <v>21</v>
      </c>
    </row>
    <row r="20" customFormat="false" ht="15" hidden="false" customHeight="false" outlineLevel="0" collapsed="false">
      <c r="A20" s="27" t="n">
        <v>20</v>
      </c>
      <c r="B20" s="27" t="n">
        <v>21</v>
      </c>
      <c r="C20" s="27" t="n">
        <v>22</v>
      </c>
      <c r="D20" s="27" t="n">
        <v>23</v>
      </c>
      <c r="E20" s="27" t="n">
        <v>24</v>
      </c>
      <c r="F20" s="28" t="n">
        <v>25</v>
      </c>
      <c r="G20" s="28" t="n">
        <v>26</v>
      </c>
      <c r="I20" s="27" t="n">
        <v>18</v>
      </c>
      <c r="J20" s="27" t="n">
        <v>19</v>
      </c>
      <c r="K20" s="27" t="n">
        <v>20</v>
      </c>
      <c r="L20" s="27" t="n">
        <v>21</v>
      </c>
      <c r="M20" s="27" t="n">
        <v>22</v>
      </c>
      <c r="N20" s="28" t="n">
        <v>23</v>
      </c>
      <c r="O20" s="28" t="n">
        <v>24</v>
      </c>
      <c r="Q20" s="27" t="n">
        <v>22</v>
      </c>
      <c r="R20" s="27" t="n">
        <v>23</v>
      </c>
      <c r="S20" s="27" t="n">
        <v>24</v>
      </c>
      <c r="T20" s="27" t="n">
        <v>25</v>
      </c>
      <c r="U20" s="27" t="n">
        <v>26</v>
      </c>
      <c r="V20" s="28" t="n">
        <v>27</v>
      </c>
      <c r="W20" s="28" t="n">
        <v>28</v>
      </c>
    </row>
    <row r="21" customFormat="false" ht="15" hidden="false" customHeight="false" outlineLevel="0" collapsed="false">
      <c r="A21" s="27" t="n">
        <v>27</v>
      </c>
      <c r="B21" s="27" t="n">
        <v>28</v>
      </c>
      <c r="C21" s="27" t="n">
        <v>29</v>
      </c>
      <c r="D21" s="27" t="n">
        <v>30</v>
      </c>
      <c r="E21" s="26"/>
      <c r="F21" s="26"/>
      <c r="G21" s="26"/>
      <c r="I21" s="27" t="n">
        <v>25</v>
      </c>
      <c r="J21" s="27" t="n">
        <v>26</v>
      </c>
      <c r="K21" s="27" t="n">
        <v>27</v>
      </c>
      <c r="L21" s="27" t="n">
        <v>28</v>
      </c>
      <c r="M21" s="27" t="n">
        <v>29</v>
      </c>
      <c r="N21" s="28" t="n">
        <v>30</v>
      </c>
      <c r="O21" s="28" t="n">
        <v>31</v>
      </c>
      <c r="Q21" s="27" t="n">
        <v>29</v>
      </c>
      <c r="R21" s="27" t="n">
        <v>30</v>
      </c>
      <c r="S21" s="26"/>
      <c r="T21" s="26"/>
      <c r="U21" s="26"/>
      <c r="V21" s="26"/>
      <c r="W21" s="26"/>
    </row>
    <row r="22" customFormat="false" ht="15" hidden="false" customHeight="false" outlineLevel="0" collapsed="false">
      <c r="A22" s="29"/>
      <c r="B22" s="29"/>
      <c r="C22" s="29"/>
      <c r="D22" s="29"/>
      <c r="E22" s="29"/>
      <c r="F22" s="29"/>
      <c r="G22" s="29"/>
      <c r="I22" s="29"/>
      <c r="J22" s="29"/>
      <c r="K22" s="29"/>
      <c r="L22" s="29"/>
      <c r="M22" s="29"/>
      <c r="N22" s="29"/>
      <c r="O22" s="29"/>
      <c r="Q22" s="29"/>
      <c r="R22" s="29"/>
      <c r="S22" s="29"/>
      <c r="T22" s="29"/>
      <c r="U22" s="29"/>
      <c r="V22" s="29"/>
      <c r="W22" s="29"/>
    </row>
    <row r="24" customFormat="false" ht="15" hidden="false" customHeight="false" outlineLevel="0" collapsed="false">
      <c r="A24" s="24" t="s">
        <v>178</v>
      </c>
      <c r="B24" s="24"/>
      <c r="C24" s="24"/>
      <c r="D24" s="24"/>
      <c r="E24" s="24"/>
      <c r="F24" s="24"/>
      <c r="G24" s="24"/>
      <c r="I24" s="24" t="s">
        <v>179</v>
      </c>
      <c r="J24" s="24"/>
      <c r="K24" s="24"/>
      <c r="L24" s="24"/>
      <c r="M24" s="24"/>
      <c r="N24" s="24"/>
      <c r="O24" s="24"/>
      <c r="Q24" s="24" t="s">
        <v>180</v>
      </c>
      <c r="R24" s="24"/>
      <c r="S24" s="24"/>
      <c r="T24" s="24"/>
      <c r="U24" s="24"/>
      <c r="V24" s="24"/>
      <c r="W24" s="24"/>
    </row>
    <row r="25" customFormat="false" ht="15" hidden="false" customHeight="false" outlineLevel="0" collapsed="false">
      <c r="A25" s="25" t="s">
        <v>168</v>
      </c>
      <c r="B25" s="25" t="s">
        <v>169</v>
      </c>
      <c r="C25" s="25" t="s">
        <v>170</v>
      </c>
      <c r="D25" s="25" t="s">
        <v>171</v>
      </c>
      <c r="E25" s="25" t="s">
        <v>172</v>
      </c>
      <c r="F25" s="25" t="s">
        <v>173</v>
      </c>
      <c r="G25" s="25" t="s">
        <v>174</v>
      </c>
      <c r="I25" s="25" t="s">
        <v>168</v>
      </c>
      <c r="J25" s="25" t="s">
        <v>169</v>
      </c>
      <c r="K25" s="25" t="s">
        <v>170</v>
      </c>
      <c r="L25" s="25" t="s">
        <v>171</v>
      </c>
      <c r="M25" s="25" t="s">
        <v>172</v>
      </c>
      <c r="N25" s="25" t="s">
        <v>173</v>
      </c>
      <c r="O25" s="25" t="s">
        <v>174</v>
      </c>
      <c r="Q25" s="25" t="s">
        <v>168</v>
      </c>
      <c r="R25" s="25" t="s">
        <v>169</v>
      </c>
      <c r="S25" s="25" t="s">
        <v>170</v>
      </c>
      <c r="T25" s="25" t="s">
        <v>171</v>
      </c>
      <c r="U25" s="25" t="s">
        <v>172</v>
      </c>
      <c r="V25" s="25" t="s">
        <v>173</v>
      </c>
      <c r="W25" s="25" t="s">
        <v>174</v>
      </c>
    </row>
    <row r="26" customFormat="false" ht="15" hidden="false" customHeight="false" outlineLevel="0" collapsed="false">
      <c r="A26" s="26"/>
      <c r="B26" s="26"/>
      <c r="C26" s="27" t="n">
        <v>1</v>
      </c>
      <c r="D26" s="27" t="n">
        <v>2</v>
      </c>
      <c r="E26" s="27" t="n">
        <v>3</v>
      </c>
      <c r="F26" s="28" t="n">
        <v>4</v>
      </c>
      <c r="G26" s="28" t="n">
        <v>5</v>
      </c>
      <c r="I26" s="26"/>
      <c r="J26" s="26"/>
      <c r="K26" s="26"/>
      <c r="L26" s="26"/>
      <c r="M26" s="26"/>
      <c r="N26" s="28" t="n">
        <v>1</v>
      </c>
      <c r="O26" s="28" t="n">
        <v>2</v>
      </c>
      <c r="Q26" s="26"/>
      <c r="R26" s="27" t="n">
        <v>1</v>
      </c>
      <c r="S26" s="27" t="n">
        <v>2</v>
      </c>
      <c r="T26" s="27" t="n">
        <v>3</v>
      </c>
      <c r="U26" s="27" t="n">
        <v>4</v>
      </c>
      <c r="V26" s="28" t="n">
        <v>5</v>
      </c>
      <c r="W26" s="28" t="n">
        <v>6</v>
      </c>
    </row>
    <row r="27" customFormat="false" ht="15" hidden="false" customHeight="false" outlineLevel="0" collapsed="false">
      <c r="A27" s="27" t="n">
        <v>6</v>
      </c>
      <c r="B27" s="27" t="n">
        <v>7</v>
      </c>
      <c r="C27" s="27" t="n">
        <v>8</v>
      </c>
      <c r="D27" s="27" t="n">
        <v>9</v>
      </c>
      <c r="E27" s="27" t="n">
        <v>10</v>
      </c>
      <c r="F27" s="28" t="n">
        <v>11</v>
      </c>
      <c r="G27" s="28" t="n">
        <v>12</v>
      </c>
      <c r="I27" s="27" t="n">
        <v>3</v>
      </c>
      <c r="J27" s="27" t="n">
        <v>4</v>
      </c>
      <c r="K27" s="27" t="n">
        <v>5</v>
      </c>
      <c r="L27" s="27" t="n">
        <v>6</v>
      </c>
      <c r="M27" s="27" t="n">
        <v>7</v>
      </c>
      <c r="N27" s="28" t="n">
        <v>8</v>
      </c>
      <c r="O27" s="28" t="n">
        <v>9</v>
      </c>
      <c r="Q27" s="27" t="n">
        <v>7</v>
      </c>
      <c r="R27" s="27" t="n">
        <v>8</v>
      </c>
      <c r="S27" s="27" t="n">
        <v>9</v>
      </c>
      <c r="T27" s="27" t="n">
        <v>10</v>
      </c>
      <c r="U27" s="27" t="n">
        <v>11</v>
      </c>
      <c r="V27" s="28" t="n">
        <v>12</v>
      </c>
      <c r="W27" s="28" t="n">
        <v>13</v>
      </c>
    </row>
    <row r="28" customFormat="false" ht="15" hidden="false" customHeight="false" outlineLevel="0" collapsed="false">
      <c r="A28" s="27" t="n">
        <v>13</v>
      </c>
      <c r="B28" s="27" t="n">
        <v>14</v>
      </c>
      <c r="C28" s="27" t="n">
        <v>15</v>
      </c>
      <c r="D28" s="27" t="n">
        <v>16</v>
      </c>
      <c r="E28" s="27" t="n">
        <v>17</v>
      </c>
      <c r="F28" s="28" t="n">
        <v>18</v>
      </c>
      <c r="G28" s="28" t="n">
        <v>19</v>
      </c>
      <c r="I28" s="27" t="n">
        <v>10</v>
      </c>
      <c r="J28" s="27" t="n">
        <v>11</v>
      </c>
      <c r="K28" s="27" t="n">
        <v>12</v>
      </c>
      <c r="L28" s="27" t="n">
        <v>13</v>
      </c>
      <c r="M28" s="27" t="n">
        <v>14</v>
      </c>
      <c r="N28" s="28" t="n">
        <v>15</v>
      </c>
      <c r="O28" s="28" t="n">
        <v>16</v>
      </c>
      <c r="Q28" s="27" t="n">
        <v>14</v>
      </c>
      <c r="R28" s="27" t="n">
        <v>15</v>
      </c>
      <c r="S28" s="27" t="n">
        <v>16</v>
      </c>
      <c r="T28" s="27" t="n">
        <v>17</v>
      </c>
      <c r="U28" s="27" t="n">
        <v>18</v>
      </c>
      <c r="V28" s="28" t="n">
        <v>19</v>
      </c>
      <c r="W28" s="28" t="n">
        <v>20</v>
      </c>
    </row>
    <row r="29" customFormat="false" ht="15" hidden="false" customHeight="false" outlineLevel="0" collapsed="false">
      <c r="A29" s="27" t="n">
        <v>20</v>
      </c>
      <c r="B29" s="27" t="n">
        <v>21</v>
      </c>
      <c r="C29" s="27" t="n">
        <v>22</v>
      </c>
      <c r="D29" s="27" t="n">
        <v>23</v>
      </c>
      <c r="E29" s="27" t="n">
        <v>24</v>
      </c>
      <c r="F29" s="28" t="n">
        <v>25</v>
      </c>
      <c r="G29" s="28" t="n">
        <v>26</v>
      </c>
      <c r="I29" s="27" t="n">
        <v>17</v>
      </c>
      <c r="J29" s="27" t="n">
        <v>18</v>
      </c>
      <c r="K29" s="27" t="n">
        <v>19</v>
      </c>
      <c r="L29" s="27" t="n">
        <v>20</v>
      </c>
      <c r="M29" s="27" t="n">
        <v>21</v>
      </c>
      <c r="N29" s="28" t="n">
        <v>22</v>
      </c>
      <c r="O29" s="28" t="n">
        <v>23</v>
      </c>
      <c r="Q29" s="27" t="n">
        <v>21</v>
      </c>
      <c r="R29" s="27" t="n">
        <v>22</v>
      </c>
      <c r="S29" s="27" t="n">
        <v>23</v>
      </c>
      <c r="T29" s="27" t="n">
        <v>24</v>
      </c>
      <c r="U29" s="27" t="n">
        <v>25</v>
      </c>
      <c r="V29" s="28" t="n">
        <v>26</v>
      </c>
      <c r="W29" s="28" t="n">
        <v>27</v>
      </c>
    </row>
    <row r="30" customFormat="false" ht="15" hidden="false" customHeight="false" outlineLevel="0" collapsed="false">
      <c r="A30" s="27" t="n">
        <v>27</v>
      </c>
      <c r="B30" s="27" t="n">
        <v>28</v>
      </c>
      <c r="C30" s="27" t="n">
        <v>29</v>
      </c>
      <c r="D30" s="27" t="n">
        <v>30</v>
      </c>
      <c r="E30" s="27" t="n">
        <v>31</v>
      </c>
      <c r="F30" s="26"/>
      <c r="G30" s="26"/>
      <c r="I30" s="27" t="n">
        <v>24</v>
      </c>
      <c r="J30" s="27" t="n">
        <v>25</v>
      </c>
      <c r="K30" s="27" t="n">
        <v>26</v>
      </c>
      <c r="L30" s="27" t="n">
        <v>27</v>
      </c>
      <c r="M30" s="27" t="n">
        <v>28</v>
      </c>
      <c r="N30" s="28" t="n">
        <v>29</v>
      </c>
      <c r="O30" s="28" t="n">
        <v>30</v>
      </c>
      <c r="Q30" s="27" t="n">
        <v>28</v>
      </c>
      <c r="R30" s="27" t="n">
        <v>29</v>
      </c>
      <c r="S30" s="27" t="n">
        <v>30</v>
      </c>
      <c r="T30" s="26"/>
      <c r="U30" s="26"/>
      <c r="V30" s="26"/>
      <c r="W30" s="26"/>
    </row>
    <row r="31" customFormat="false" ht="15" hidden="false" customHeight="false" outlineLevel="0" collapsed="false">
      <c r="A31" s="29"/>
      <c r="B31" s="29"/>
      <c r="C31" s="29"/>
      <c r="D31" s="29"/>
      <c r="E31" s="29"/>
      <c r="F31" s="29"/>
      <c r="G31" s="29"/>
      <c r="I31" s="27" t="n">
        <v>31</v>
      </c>
      <c r="J31" s="26"/>
      <c r="K31" s="26"/>
      <c r="L31" s="26"/>
      <c r="M31" s="26"/>
      <c r="N31" s="26"/>
      <c r="O31" s="26"/>
      <c r="Q31" s="29"/>
      <c r="R31" s="29"/>
      <c r="S31" s="29"/>
      <c r="T31" s="29"/>
      <c r="U31" s="29"/>
      <c r="V31" s="29"/>
      <c r="W31" s="29"/>
    </row>
    <row r="33" customFormat="false" ht="15" hidden="false" customHeight="false" outlineLevel="0" collapsed="false">
      <c r="A33" s="24" t="s">
        <v>181</v>
      </c>
      <c r="B33" s="24"/>
      <c r="C33" s="24"/>
      <c r="D33" s="24"/>
      <c r="E33" s="24"/>
      <c r="F33" s="24"/>
      <c r="G33" s="24"/>
      <c r="I33" s="24" t="s">
        <v>182</v>
      </c>
      <c r="J33" s="24"/>
      <c r="K33" s="24"/>
      <c r="L33" s="24"/>
      <c r="M33" s="24"/>
      <c r="N33" s="24"/>
      <c r="O33" s="24"/>
      <c r="Q33" s="24" t="s">
        <v>183</v>
      </c>
      <c r="R33" s="24"/>
      <c r="S33" s="24"/>
      <c r="T33" s="24"/>
      <c r="U33" s="24"/>
      <c r="V33" s="24"/>
      <c r="W33" s="24"/>
    </row>
    <row r="34" customFormat="false" ht="15" hidden="false" customHeight="false" outlineLevel="0" collapsed="false">
      <c r="A34" s="25" t="s">
        <v>168</v>
      </c>
      <c r="B34" s="25" t="s">
        <v>169</v>
      </c>
      <c r="C34" s="25" t="s">
        <v>170</v>
      </c>
      <c r="D34" s="25" t="s">
        <v>171</v>
      </c>
      <c r="E34" s="25" t="s">
        <v>172</v>
      </c>
      <c r="F34" s="25" t="s">
        <v>173</v>
      </c>
      <c r="G34" s="25" t="s">
        <v>174</v>
      </c>
      <c r="I34" s="25" t="s">
        <v>168</v>
      </c>
      <c r="J34" s="25" t="s">
        <v>169</v>
      </c>
      <c r="K34" s="25" t="s">
        <v>170</v>
      </c>
      <c r="L34" s="25" t="s">
        <v>171</v>
      </c>
      <c r="M34" s="25" t="s">
        <v>172</v>
      </c>
      <c r="N34" s="25" t="s">
        <v>173</v>
      </c>
      <c r="O34" s="25" t="s">
        <v>174</v>
      </c>
      <c r="Q34" s="25" t="s">
        <v>168</v>
      </c>
      <c r="R34" s="25" t="s">
        <v>169</v>
      </c>
      <c r="S34" s="25" t="s">
        <v>170</v>
      </c>
      <c r="T34" s="25" t="s">
        <v>171</v>
      </c>
      <c r="U34" s="25" t="s">
        <v>172</v>
      </c>
      <c r="V34" s="25" t="s">
        <v>173</v>
      </c>
      <c r="W34" s="25" t="s">
        <v>174</v>
      </c>
    </row>
    <row r="35" customFormat="false" ht="15" hidden="false" customHeight="false" outlineLevel="0" collapsed="false">
      <c r="A35" s="26"/>
      <c r="B35" s="26"/>
      <c r="C35" s="26"/>
      <c r="D35" s="27" t="n">
        <v>1</v>
      </c>
      <c r="E35" s="27" t="n">
        <v>2</v>
      </c>
      <c r="F35" s="28" t="n">
        <v>3</v>
      </c>
      <c r="G35" s="28" t="n">
        <v>4</v>
      </c>
      <c r="I35" s="26"/>
      <c r="J35" s="26"/>
      <c r="K35" s="26"/>
      <c r="L35" s="26"/>
      <c r="M35" s="26"/>
      <c r="N35" s="26"/>
      <c r="O35" s="28" t="n">
        <v>1</v>
      </c>
      <c r="Q35" s="26"/>
      <c r="R35" s="27" t="n">
        <v>1</v>
      </c>
      <c r="S35" s="27" t="n">
        <v>2</v>
      </c>
      <c r="T35" s="27" t="n">
        <v>3</v>
      </c>
      <c r="U35" s="27" t="n">
        <v>4</v>
      </c>
      <c r="V35" s="28" t="n">
        <v>5</v>
      </c>
      <c r="W35" s="28" t="n">
        <v>6</v>
      </c>
    </row>
    <row r="36" customFormat="false" ht="15" hidden="false" customHeight="false" outlineLevel="0" collapsed="false">
      <c r="A36" s="27" t="n">
        <v>5</v>
      </c>
      <c r="B36" s="27" t="n">
        <v>6</v>
      </c>
      <c r="C36" s="27" t="n">
        <v>7</v>
      </c>
      <c r="D36" s="27" t="n">
        <v>8</v>
      </c>
      <c r="E36" s="27" t="n">
        <v>9</v>
      </c>
      <c r="F36" s="28" t="n">
        <v>10</v>
      </c>
      <c r="G36" s="28" t="n">
        <v>11</v>
      </c>
      <c r="I36" s="27" t="n">
        <v>2</v>
      </c>
      <c r="J36" s="27" t="n">
        <v>3</v>
      </c>
      <c r="K36" s="27" t="n">
        <v>4</v>
      </c>
      <c r="L36" s="27" t="n">
        <v>5</v>
      </c>
      <c r="M36" s="27" t="n">
        <v>6</v>
      </c>
      <c r="N36" s="28" t="n">
        <v>7</v>
      </c>
      <c r="O36" s="28" t="n">
        <v>8</v>
      </c>
      <c r="Q36" s="27" t="n">
        <v>7</v>
      </c>
      <c r="R36" s="27" t="n">
        <v>8</v>
      </c>
      <c r="S36" s="27" t="n">
        <v>9</v>
      </c>
      <c r="T36" s="27" t="n">
        <v>10</v>
      </c>
      <c r="U36" s="27" t="n">
        <v>11</v>
      </c>
      <c r="V36" s="28" t="n">
        <v>12</v>
      </c>
      <c r="W36" s="28" t="n">
        <v>13</v>
      </c>
    </row>
    <row r="37" customFormat="false" ht="15" hidden="false" customHeight="false" outlineLevel="0" collapsed="false">
      <c r="A37" s="27" t="n">
        <v>12</v>
      </c>
      <c r="B37" s="27" t="n">
        <v>13</v>
      </c>
      <c r="C37" s="27" t="n">
        <v>14</v>
      </c>
      <c r="D37" s="27" t="n">
        <v>15</v>
      </c>
      <c r="E37" s="27" t="n">
        <v>16</v>
      </c>
      <c r="F37" s="28" t="n">
        <v>17</v>
      </c>
      <c r="G37" s="28" t="n">
        <v>18</v>
      </c>
      <c r="I37" s="27" t="n">
        <v>9</v>
      </c>
      <c r="J37" s="27" t="n">
        <v>10</v>
      </c>
      <c r="K37" s="27" t="n">
        <v>11</v>
      </c>
      <c r="L37" s="27" t="n">
        <v>12</v>
      </c>
      <c r="M37" s="27" t="n">
        <v>13</v>
      </c>
      <c r="N37" s="28" t="n">
        <v>14</v>
      </c>
      <c r="O37" s="28" t="n">
        <v>15</v>
      </c>
      <c r="Q37" s="27" t="n">
        <v>14</v>
      </c>
      <c r="R37" s="27" t="n">
        <v>15</v>
      </c>
      <c r="S37" s="27" t="n">
        <v>16</v>
      </c>
      <c r="T37" s="27" t="n">
        <v>17</v>
      </c>
      <c r="U37" s="27" t="n">
        <v>18</v>
      </c>
      <c r="V37" s="28" t="n">
        <v>19</v>
      </c>
      <c r="W37" s="28" t="n">
        <v>20</v>
      </c>
    </row>
    <row r="38" customFormat="false" ht="15" hidden="false" customHeight="false" outlineLevel="0" collapsed="false">
      <c r="A38" s="27" t="n">
        <v>19</v>
      </c>
      <c r="B38" s="27" t="n">
        <v>20</v>
      </c>
      <c r="C38" s="27" t="n">
        <v>21</v>
      </c>
      <c r="D38" s="27" t="n">
        <v>22</v>
      </c>
      <c r="E38" s="27" t="n">
        <v>23</v>
      </c>
      <c r="F38" s="28" t="n">
        <v>24</v>
      </c>
      <c r="G38" s="28" t="n">
        <v>25</v>
      </c>
      <c r="I38" s="27" t="n">
        <v>16</v>
      </c>
      <c r="J38" s="27" t="n">
        <v>17</v>
      </c>
      <c r="K38" s="27" t="n">
        <v>18</v>
      </c>
      <c r="L38" s="27" t="n">
        <v>19</v>
      </c>
      <c r="M38" s="27" t="n">
        <v>20</v>
      </c>
      <c r="N38" s="28" t="n">
        <v>21</v>
      </c>
      <c r="O38" s="28" t="n">
        <v>22</v>
      </c>
      <c r="Q38" s="27" t="n">
        <v>21</v>
      </c>
      <c r="R38" s="27" t="n">
        <v>22</v>
      </c>
      <c r="S38" s="27" t="n">
        <v>23</v>
      </c>
      <c r="T38" s="27" t="n">
        <v>24</v>
      </c>
      <c r="U38" s="27" t="n">
        <v>25</v>
      </c>
      <c r="V38" s="28" t="n">
        <v>26</v>
      </c>
      <c r="W38" s="28" t="n">
        <v>27</v>
      </c>
    </row>
    <row r="39" customFormat="false" ht="15" hidden="false" customHeight="false" outlineLevel="0" collapsed="false">
      <c r="A39" s="27" t="n">
        <v>26</v>
      </c>
      <c r="B39" s="27" t="n">
        <v>27</v>
      </c>
      <c r="C39" s="27" t="n">
        <v>28</v>
      </c>
      <c r="D39" s="27" t="n">
        <v>29</v>
      </c>
      <c r="E39" s="27" t="n">
        <v>30</v>
      </c>
      <c r="F39" s="28" t="n">
        <v>31</v>
      </c>
      <c r="G39" s="26"/>
      <c r="I39" s="27" t="n">
        <v>23</v>
      </c>
      <c r="J39" s="27" t="n">
        <v>24</v>
      </c>
      <c r="K39" s="27" t="n">
        <v>25</v>
      </c>
      <c r="L39" s="27" t="n">
        <v>26</v>
      </c>
      <c r="M39" s="27" t="n">
        <v>27</v>
      </c>
      <c r="N39" s="28" t="n">
        <v>28</v>
      </c>
      <c r="O39" s="28" t="n">
        <v>29</v>
      </c>
      <c r="Q39" s="27" t="n">
        <v>28</v>
      </c>
      <c r="R39" s="27" t="n">
        <v>29</v>
      </c>
      <c r="S39" s="27" t="n">
        <v>30</v>
      </c>
      <c r="T39" s="27" t="n">
        <v>31</v>
      </c>
      <c r="U39" s="26"/>
      <c r="V39" s="26"/>
      <c r="W39" s="26"/>
    </row>
    <row r="40" customFormat="false" ht="15" hidden="false" customHeight="false" outlineLevel="0" collapsed="false">
      <c r="A40" s="29"/>
      <c r="B40" s="29"/>
      <c r="C40" s="29"/>
      <c r="D40" s="29"/>
      <c r="E40" s="29"/>
      <c r="F40" s="29"/>
      <c r="G40" s="29"/>
      <c r="I40" s="27" t="n">
        <v>30</v>
      </c>
      <c r="J40" s="26"/>
      <c r="K40" s="26"/>
      <c r="L40" s="26"/>
      <c r="M40" s="26"/>
      <c r="N40" s="26"/>
      <c r="O40" s="26"/>
      <c r="Q40" s="29"/>
      <c r="R40" s="29"/>
      <c r="S40" s="29"/>
      <c r="T40" s="29"/>
      <c r="U40" s="29"/>
      <c r="V40" s="29"/>
      <c r="W40" s="29"/>
    </row>
  </sheetData>
  <mergeCells count="12">
    <mergeCell ref="A6:G6"/>
    <mergeCell ref="I6:O6"/>
    <mergeCell ref="Q6:W6"/>
    <mergeCell ref="A15:G15"/>
    <mergeCell ref="I15:O15"/>
    <mergeCell ref="Q15:W15"/>
    <mergeCell ref="A24:G24"/>
    <mergeCell ref="I24:O24"/>
    <mergeCell ref="Q24:W24"/>
    <mergeCell ref="A33:G33"/>
    <mergeCell ref="I33:O33"/>
    <mergeCell ref="Q33:W33"/>
  </mergeCells>
  <conditionalFormatting sqref="D8">
    <cfRule type="expression" priority="2" aboveAverage="0" equalAverage="0" bottom="0" percent="0" rank="0" text="" dxfId="3">
      <formula>COUNTIF(02_Lich_PM!$E$5:$E$1000,DATE(2026,1,1))&gt;0</formula>
    </cfRule>
    <cfRule type="expression" priority="3" aboveAverage="0" equalAverage="0" bottom="0" percent="0" rank="0" text="" dxfId="4">
      <formula>DATE(2026,1,1)=TODAY()</formula>
    </cfRule>
  </conditionalFormatting>
  <conditionalFormatting sqref="E8">
    <cfRule type="expression" priority="4" aboveAverage="0" equalAverage="0" bottom="0" percent="0" rank="0" text="" dxfId="3">
      <formula>COUNTIF(02_Lich_PM!$E$5:$E$1000,DATE(2026,1,2))&gt;0</formula>
    </cfRule>
    <cfRule type="expression" priority="5" aboveAverage="0" equalAverage="0" bottom="0" percent="0" rank="0" text="" dxfId="4">
      <formula>DATE(2026,1,2)=TODAY()</formula>
    </cfRule>
  </conditionalFormatting>
  <conditionalFormatting sqref="F8">
    <cfRule type="expression" priority="6" aboveAverage="0" equalAverage="0" bottom="0" percent="0" rank="0" text="" dxfId="3">
      <formula>COUNTIF(02_Lich_PM!$E$5:$E$1000,DATE(2026,1,3))&gt;0</formula>
    </cfRule>
    <cfRule type="expression" priority="7" aboveAverage="0" equalAverage="0" bottom="0" percent="0" rank="0" text="" dxfId="4">
      <formula>DATE(2026,1,3)=TODAY()</formula>
    </cfRule>
  </conditionalFormatting>
  <conditionalFormatting sqref="G8">
    <cfRule type="expression" priority="8" aboveAverage="0" equalAverage="0" bottom="0" percent="0" rank="0" text="" dxfId="3">
      <formula>COUNTIF(02_Lich_PM!$E$5:$E$1000,DATE(2026,1,4))&gt;0</formula>
    </cfRule>
    <cfRule type="expression" priority="9" aboveAverage="0" equalAverage="0" bottom="0" percent="0" rank="0" text="" dxfId="4">
      <formula>DATE(2026,1,4)=TODAY()</formula>
    </cfRule>
  </conditionalFormatting>
  <conditionalFormatting sqref="A9">
    <cfRule type="expression" priority="10" aboveAverage="0" equalAverage="0" bottom="0" percent="0" rank="0" text="" dxfId="3">
      <formula>COUNTIF(02_Lich_PM!$E$5:$E$1000,DATE(2026,1,5))&gt;0</formula>
    </cfRule>
    <cfRule type="expression" priority="11" aboveAverage="0" equalAverage="0" bottom="0" percent="0" rank="0" text="" dxfId="4">
      <formula>DATE(2026,1,5)=TODAY()</formula>
    </cfRule>
  </conditionalFormatting>
  <conditionalFormatting sqref="B9">
    <cfRule type="expression" priority="12" aboveAverage="0" equalAverage="0" bottom="0" percent="0" rank="0" text="" dxfId="3">
      <formula>COUNTIF(02_Lich_PM!$E$5:$E$1000,DATE(2026,1,6))&gt;0</formula>
    </cfRule>
    <cfRule type="expression" priority="13" aboveAverage="0" equalAverage="0" bottom="0" percent="0" rank="0" text="" dxfId="4">
      <formula>DATE(2026,1,6)=TODAY()</formula>
    </cfRule>
  </conditionalFormatting>
  <conditionalFormatting sqref="C9">
    <cfRule type="expression" priority="14" aboveAverage="0" equalAverage="0" bottom="0" percent="0" rank="0" text="" dxfId="3">
      <formula>COUNTIF(02_Lich_PM!$E$5:$E$1000,DATE(2026,1,7))&gt;0</formula>
    </cfRule>
    <cfRule type="expression" priority="15" aboveAverage="0" equalAverage="0" bottom="0" percent="0" rank="0" text="" dxfId="4">
      <formula>DATE(2026,1,7)=TODAY()</formula>
    </cfRule>
  </conditionalFormatting>
  <conditionalFormatting sqref="D9">
    <cfRule type="expression" priority="16" aboveAverage="0" equalAverage="0" bottom="0" percent="0" rank="0" text="" dxfId="3">
      <formula>COUNTIF(02_Lich_PM!$E$5:$E$1000,DATE(2026,1,8))&gt;0</formula>
    </cfRule>
    <cfRule type="expression" priority="17" aboveAverage="0" equalAverage="0" bottom="0" percent="0" rank="0" text="" dxfId="4">
      <formula>DATE(2026,1,8)=TODAY()</formula>
    </cfRule>
  </conditionalFormatting>
  <conditionalFormatting sqref="E9">
    <cfRule type="expression" priority="18" aboveAverage="0" equalAverage="0" bottom="0" percent="0" rank="0" text="" dxfId="3">
      <formula>COUNTIF(02_Lich_PM!$E$5:$E$1000,DATE(2026,1,9))&gt;0</formula>
    </cfRule>
    <cfRule type="expression" priority="19" aboveAverage="0" equalAverage="0" bottom="0" percent="0" rank="0" text="" dxfId="4">
      <formula>DATE(2026,1,9)=TODAY()</formula>
    </cfRule>
  </conditionalFormatting>
  <conditionalFormatting sqref="F9">
    <cfRule type="expression" priority="20" aboveAverage="0" equalAverage="0" bottom="0" percent="0" rank="0" text="" dxfId="3">
      <formula>COUNTIF(02_Lich_PM!$E$5:$E$1000,DATE(2026,1,10))&gt;0</formula>
    </cfRule>
    <cfRule type="expression" priority="21" aboveAverage="0" equalAverage="0" bottom="0" percent="0" rank="0" text="" dxfId="4">
      <formula>DATE(2026,1,10)=TODAY()</formula>
    </cfRule>
  </conditionalFormatting>
  <conditionalFormatting sqref="G9">
    <cfRule type="expression" priority="22" aboveAverage="0" equalAverage="0" bottom="0" percent="0" rank="0" text="" dxfId="3">
      <formula>COUNTIF(02_Lich_PM!$E$5:$E$1000,DATE(2026,1,11))&gt;0</formula>
    </cfRule>
    <cfRule type="expression" priority="23" aboveAverage="0" equalAverage="0" bottom="0" percent="0" rank="0" text="" dxfId="4">
      <formula>DATE(2026,1,11)=TODAY()</formula>
    </cfRule>
  </conditionalFormatting>
  <conditionalFormatting sqref="A10">
    <cfRule type="expression" priority="24" aboveAverage="0" equalAverage="0" bottom="0" percent="0" rank="0" text="" dxfId="3">
      <formula>COUNTIF(02_Lich_PM!$E$5:$E$1000,DATE(2026,1,12))&gt;0</formula>
    </cfRule>
    <cfRule type="expression" priority="25" aboveAverage="0" equalAverage="0" bottom="0" percent="0" rank="0" text="" dxfId="4">
      <formula>DATE(2026,1,12)=TODAY()</formula>
    </cfRule>
  </conditionalFormatting>
  <conditionalFormatting sqref="B10">
    <cfRule type="expression" priority="26" aboveAverage="0" equalAverage="0" bottom="0" percent="0" rank="0" text="" dxfId="3">
      <formula>COUNTIF(02_Lich_PM!$E$5:$E$1000,DATE(2026,1,13))&gt;0</formula>
    </cfRule>
    <cfRule type="expression" priority="27" aboveAverage="0" equalAverage="0" bottom="0" percent="0" rank="0" text="" dxfId="4">
      <formula>DATE(2026,1,13)=TODAY()</formula>
    </cfRule>
  </conditionalFormatting>
  <conditionalFormatting sqref="C10">
    <cfRule type="expression" priority="28" aboveAverage="0" equalAverage="0" bottom="0" percent="0" rank="0" text="" dxfId="3">
      <formula>COUNTIF(02_Lich_PM!$E$5:$E$1000,DATE(2026,1,14))&gt;0</formula>
    </cfRule>
    <cfRule type="expression" priority="29" aboveAverage="0" equalAverage="0" bottom="0" percent="0" rank="0" text="" dxfId="4">
      <formula>DATE(2026,1,14)=TODAY()</formula>
    </cfRule>
  </conditionalFormatting>
  <conditionalFormatting sqref="D10">
    <cfRule type="expression" priority="30" aboveAverage="0" equalAverage="0" bottom="0" percent="0" rank="0" text="" dxfId="3">
      <formula>COUNTIF(02_Lich_PM!$E$5:$E$1000,DATE(2026,1,15))&gt;0</formula>
    </cfRule>
    <cfRule type="expression" priority="31" aboveAverage="0" equalAverage="0" bottom="0" percent="0" rank="0" text="" dxfId="4">
      <formula>DATE(2026,1,15)=TODAY()</formula>
    </cfRule>
  </conditionalFormatting>
  <conditionalFormatting sqref="E10">
    <cfRule type="expression" priority="32" aboveAverage="0" equalAverage="0" bottom="0" percent="0" rank="0" text="" dxfId="3">
      <formula>COUNTIF(02_Lich_PM!$E$5:$E$1000,DATE(2026,1,16))&gt;0</formula>
    </cfRule>
    <cfRule type="expression" priority="33" aboveAverage="0" equalAverage="0" bottom="0" percent="0" rank="0" text="" dxfId="4">
      <formula>DATE(2026,1,16)=TODAY()</formula>
    </cfRule>
  </conditionalFormatting>
  <conditionalFormatting sqref="F10">
    <cfRule type="expression" priority="34" aboveAverage="0" equalAverage="0" bottom="0" percent="0" rank="0" text="" dxfId="3">
      <formula>COUNTIF(02_Lich_PM!$E$5:$E$1000,DATE(2026,1,17))&gt;0</formula>
    </cfRule>
    <cfRule type="expression" priority="35" aboveAverage="0" equalAverage="0" bottom="0" percent="0" rank="0" text="" dxfId="4">
      <formula>DATE(2026,1,17)=TODAY()</formula>
    </cfRule>
  </conditionalFormatting>
  <conditionalFormatting sqref="G10">
    <cfRule type="expression" priority="36" aboveAverage="0" equalAverage="0" bottom="0" percent="0" rank="0" text="" dxfId="3">
      <formula>COUNTIF(02_Lich_PM!$E$5:$E$1000,DATE(2026,1,18))&gt;0</formula>
    </cfRule>
    <cfRule type="expression" priority="37" aboveAverage="0" equalAverage="0" bottom="0" percent="0" rank="0" text="" dxfId="4">
      <formula>DATE(2026,1,18)=TODAY()</formula>
    </cfRule>
  </conditionalFormatting>
  <conditionalFormatting sqref="A11">
    <cfRule type="expression" priority="38" aboveAverage="0" equalAverage="0" bottom="0" percent="0" rank="0" text="" dxfId="3">
      <formula>COUNTIF(02_Lich_PM!$E$5:$E$1000,DATE(2026,1,19))&gt;0</formula>
    </cfRule>
    <cfRule type="expression" priority="39" aboveAverage="0" equalAverage="0" bottom="0" percent="0" rank="0" text="" dxfId="4">
      <formula>DATE(2026,1,19)=TODAY()</formula>
    </cfRule>
  </conditionalFormatting>
  <conditionalFormatting sqref="B11">
    <cfRule type="expression" priority="40" aboveAverage="0" equalAverage="0" bottom="0" percent="0" rank="0" text="" dxfId="3">
      <formula>COUNTIF(02_Lich_PM!$E$5:$E$1000,DATE(2026,1,20))&gt;0</formula>
    </cfRule>
    <cfRule type="expression" priority="41" aboveAverage="0" equalAverage="0" bottom="0" percent="0" rank="0" text="" dxfId="4">
      <formula>DATE(2026,1,20)=TODAY()</formula>
    </cfRule>
  </conditionalFormatting>
  <conditionalFormatting sqref="C11">
    <cfRule type="expression" priority="42" aboveAverage="0" equalAverage="0" bottom="0" percent="0" rank="0" text="" dxfId="3">
      <formula>COUNTIF(02_Lich_PM!$E$5:$E$1000,DATE(2026,1,21))&gt;0</formula>
    </cfRule>
    <cfRule type="expression" priority="43" aboveAverage="0" equalAverage="0" bottom="0" percent="0" rank="0" text="" dxfId="4">
      <formula>DATE(2026,1,21)=TODAY()</formula>
    </cfRule>
  </conditionalFormatting>
  <conditionalFormatting sqref="D11">
    <cfRule type="expression" priority="44" aboveAverage="0" equalAverage="0" bottom="0" percent="0" rank="0" text="" dxfId="3">
      <formula>COUNTIF(02_Lich_PM!$E$5:$E$1000,DATE(2026,1,22))&gt;0</formula>
    </cfRule>
    <cfRule type="expression" priority="45" aboveAverage="0" equalAverage="0" bottom="0" percent="0" rank="0" text="" dxfId="4">
      <formula>DATE(2026,1,22)=TODAY()</formula>
    </cfRule>
  </conditionalFormatting>
  <conditionalFormatting sqref="E11">
    <cfRule type="expression" priority="46" aboveAverage="0" equalAverage="0" bottom="0" percent="0" rank="0" text="" dxfId="3">
      <formula>COUNTIF(02_Lich_PM!$E$5:$E$1000,DATE(2026,1,23))&gt;0</formula>
    </cfRule>
    <cfRule type="expression" priority="47" aboveAverage="0" equalAverage="0" bottom="0" percent="0" rank="0" text="" dxfId="4">
      <formula>DATE(2026,1,23)=TODAY()</formula>
    </cfRule>
  </conditionalFormatting>
  <conditionalFormatting sqref="F11">
    <cfRule type="expression" priority="48" aboveAverage="0" equalAverage="0" bottom="0" percent="0" rank="0" text="" dxfId="3">
      <formula>COUNTIF(02_Lich_PM!$E$5:$E$1000,DATE(2026,1,24))&gt;0</formula>
    </cfRule>
    <cfRule type="expression" priority="49" aboveAverage="0" equalAverage="0" bottom="0" percent="0" rank="0" text="" dxfId="4">
      <formula>DATE(2026,1,24)=TODAY()</formula>
    </cfRule>
  </conditionalFormatting>
  <conditionalFormatting sqref="G11">
    <cfRule type="expression" priority="50" aboveAverage="0" equalAverage="0" bottom="0" percent="0" rank="0" text="" dxfId="3">
      <formula>COUNTIF(02_Lich_PM!$E$5:$E$1000,DATE(2026,1,25))&gt;0</formula>
    </cfRule>
    <cfRule type="expression" priority="51" aboveAverage="0" equalAverage="0" bottom="0" percent="0" rank="0" text="" dxfId="4">
      <formula>DATE(2026,1,25)=TODAY()</formula>
    </cfRule>
  </conditionalFormatting>
  <conditionalFormatting sqref="A12">
    <cfRule type="expression" priority="52" aboveAverage="0" equalAverage="0" bottom="0" percent="0" rank="0" text="" dxfId="3">
      <formula>COUNTIF(02_Lich_PM!$E$5:$E$1000,DATE(2026,1,26))&gt;0</formula>
    </cfRule>
    <cfRule type="expression" priority="53" aboveAverage="0" equalAverage="0" bottom="0" percent="0" rank="0" text="" dxfId="4">
      <formula>DATE(2026,1,26)=TODAY()</formula>
    </cfRule>
  </conditionalFormatting>
  <conditionalFormatting sqref="B12">
    <cfRule type="expression" priority="54" aboveAverage="0" equalAverage="0" bottom="0" percent="0" rank="0" text="" dxfId="3">
      <formula>COUNTIF(02_Lich_PM!$E$5:$E$1000,DATE(2026,1,27))&gt;0</formula>
    </cfRule>
    <cfRule type="expression" priority="55" aboveAverage="0" equalAverage="0" bottom="0" percent="0" rank="0" text="" dxfId="4">
      <formula>DATE(2026,1,27)=TODAY()</formula>
    </cfRule>
  </conditionalFormatting>
  <conditionalFormatting sqref="C12">
    <cfRule type="expression" priority="56" aboveAverage="0" equalAverage="0" bottom="0" percent="0" rank="0" text="" dxfId="3">
      <formula>COUNTIF(02_Lich_PM!$E$5:$E$1000,DATE(2026,1,28))&gt;0</formula>
    </cfRule>
    <cfRule type="expression" priority="57" aboveAverage="0" equalAverage="0" bottom="0" percent="0" rank="0" text="" dxfId="4">
      <formula>DATE(2026,1,28)=TODAY()</formula>
    </cfRule>
  </conditionalFormatting>
  <conditionalFormatting sqref="D12">
    <cfRule type="expression" priority="58" aboveAverage="0" equalAverage="0" bottom="0" percent="0" rank="0" text="" dxfId="3">
      <formula>COUNTIF(02_Lich_PM!$E$5:$E$1000,DATE(2026,1,29))&gt;0</formula>
    </cfRule>
    <cfRule type="expression" priority="59" aboveAverage="0" equalAverage="0" bottom="0" percent="0" rank="0" text="" dxfId="4">
      <formula>DATE(2026,1,29)=TODAY()</formula>
    </cfRule>
  </conditionalFormatting>
  <conditionalFormatting sqref="E12">
    <cfRule type="expression" priority="60" aboveAverage="0" equalAverage="0" bottom="0" percent="0" rank="0" text="" dxfId="3">
      <formula>COUNTIF(02_Lich_PM!$E$5:$E$1000,DATE(2026,1,30))&gt;0</formula>
    </cfRule>
    <cfRule type="expression" priority="61" aboveAverage="0" equalAverage="0" bottom="0" percent="0" rank="0" text="" dxfId="4">
      <formula>DATE(2026,1,30)=TODAY()</formula>
    </cfRule>
  </conditionalFormatting>
  <conditionalFormatting sqref="F12">
    <cfRule type="expression" priority="62" aboveAverage="0" equalAverage="0" bottom="0" percent="0" rank="0" text="" dxfId="3">
      <formula>COUNTIF(02_Lich_PM!$E$5:$E$1000,DATE(2026,1,31))&gt;0</formula>
    </cfRule>
    <cfRule type="expression" priority="63" aboveAverage="0" equalAverage="0" bottom="0" percent="0" rank="0" text="" dxfId="4">
      <formula>DATE(2026,1,31)=TODAY()</formula>
    </cfRule>
  </conditionalFormatting>
  <conditionalFormatting sqref="O8">
    <cfRule type="expression" priority="64" aboveAverage="0" equalAverage="0" bottom="0" percent="0" rank="0" text="" dxfId="3">
      <formula>COUNTIF(02_Lich_PM!$E$5:$E$1000,DATE(2026,2,1))&gt;0</formula>
    </cfRule>
    <cfRule type="expression" priority="65" aboveAverage="0" equalAverage="0" bottom="0" percent="0" rank="0" text="" dxfId="4">
      <formula>DATE(2026,2,1)=TODAY()</formula>
    </cfRule>
  </conditionalFormatting>
  <conditionalFormatting sqref="I9">
    <cfRule type="expression" priority="66" aboveAverage="0" equalAverage="0" bottom="0" percent="0" rank="0" text="" dxfId="3">
      <formula>COUNTIF(02_Lich_PM!$E$5:$E$1000,DATE(2026,2,2))&gt;0</formula>
    </cfRule>
    <cfRule type="expression" priority="67" aboveAverage="0" equalAverage="0" bottom="0" percent="0" rank="0" text="" dxfId="4">
      <formula>DATE(2026,2,2)=TODAY()</formula>
    </cfRule>
  </conditionalFormatting>
  <conditionalFormatting sqref="J9">
    <cfRule type="expression" priority="68" aboveAverage="0" equalAverage="0" bottom="0" percent="0" rank="0" text="" dxfId="3">
      <formula>COUNTIF(02_Lich_PM!$E$5:$E$1000,DATE(2026,2,3))&gt;0</formula>
    </cfRule>
    <cfRule type="expression" priority="69" aboveAverage="0" equalAverage="0" bottom="0" percent="0" rank="0" text="" dxfId="4">
      <formula>DATE(2026,2,3)=TODAY()</formula>
    </cfRule>
  </conditionalFormatting>
  <conditionalFormatting sqref="K9">
    <cfRule type="expression" priority="70" aboveAverage="0" equalAverage="0" bottom="0" percent="0" rank="0" text="" dxfId="3">
      <formula>COUNTIF(02_Lich_PM!$E$5:$E$1000,DATE(2026,2,4))&gt;0</formula>
    </cfRule>
    <cfRule type="expression" priority="71" aboveAverage="0" equalAverage="0" bottom="0" percent="0" rank="0" text="" dxfId="4">
      <formula>DATE(2026,2,4)=TODAY()</formula>
    </cfRule>
  </conditionalFormatting>
  <conditionalFormatting sqref="L9">
    <cfRule type="expression" priority="72" aboveAverage="0" equalAverage="0" bottom="0" percent="0" rank="0" text="" dxfId="3">
      <formula>COUNTIF(02_Lich_PM!$E$5:$E$1000,DATE(2026,2,5))&gt;0</formula>
    </cfRule>
    <cfRule type="expression" priority="73" aboveAverage="0" equalAverage="0" bottom="0" percent="0" rank="0" text="" dxfId="4">
      <formula>DATE(2026,2,5)=TODAY()</formula>
    </cfRule>
  </conditionalFormatting>
  <conditionalFormatting sqref="M9">
    <cfRule type="expression" priority="74" aboveAverage="0" equalAverage="0" bottom="0" percent="0" rank="0" text="" dxfId="3">
      <formula>COUNTIF(02_Lich_PM!$E$5:$E$1000,DATE(2026,2,6))&gt;0</formula>
    </cfRule>
    <cfRule type="expression" priority="75" aboveAverage="0" equalAverage="0" bottom="0" percent="0" rank="0" text="" dxfId="4">
      <formula>DATE(2026,2,6)=TODAY()</formula>
    </cfRule>
  </conditionalFormatting>
  <conditionalFormatting sqref="N9">
    <cfRule type="expression" priority="76" aboveAverage="0" equalAverage="0" bottom="0" percent="0" rank="0" text="" dxfId="3">
      <formula>COUNTIF(02_Lich_PM!$E$5:$E$1000,DATE(2026,2,7))&gt;0</formula>
    </cfRule>
    <cfRule type="expression" priority="77" aboveAverage="0" equalAverage="0" bottom="0" percent="0" rank="0" text="" dxfId="4">
      <formula>DATE(2026,2,7)=TODAY()</formula>
    </cfRule>
  </conditionalFormatting>
  <conditionalFormatting sqref="O9">
    <cfRule type="expression" priority="78" aboveAverage="0" equalAverage="0" bottom="0" percent="0" rank="0" text="" dxfId="3">
      <formula>COUNTIF(02_Lich_PM!$E$5:$E$1000,DATE(2026,2,8))&gt;0</formula>
    </cfRule>
    <cfRule type="expression" priority="79" aboveAverage="0" equalAverage="0" bottom="0" percent="0" rank="0" text="" dxfId="4">
      <formula>DATE(2026,2,8)=TODAY()</formula>
    </cfRule>
  </conditionalFormatting>
  <conditionalFormatting sqref="I10">
    <cfRule type="expression" priority="80" aboveAverage="0" equalAverage="0" bottom="0" percent="0" rank="0" text="" dxfId="3">
      <formula>COUNTIF(02_Lich_PM!$E$5:$E$1000,DATE(2026,2,9))&gt;0</formula>
    </cfRule>
    <cfRule type="expression" priority="81" aboveAverage="0" equalAverage="0" bottom="0" percent="0" rank="0" text="" dxfId="4">
      <formula>DATE(2026,2,9)=TODAY()</formula>
    </cfRule>
  </conditionalFormatting>
  <conditionalFormatting sqref="J10">
    <cfRule type="expression" priority="82" aboveAverage="0" equalAverage="0" bottom="0" percent="0" rank="0" text="" dxfId="3">
      <formula>COUNTIF(02_Lich_PM!$E$5:$E$1000,DATE(2026,2,10))&gt;0</formula>
    </cfRule>
    <cfRule type="expression" priority="83" aboveAverage="0" equalAverage="0" bottom="0" percent="0" rank="0" text="" dxfId="4">
      <formula>DATE(2026,2,10)=TODAY()</formula>
    </cfRule>
  </conditionalFormatting>
  <conditionalFormatting sqref="K10">
    <cfRule type="expression" priority="84" aboveAverage="0" equalAverage="0" bottom="0" percent="0" rank="0" text="" dxfId="3">
      <formula>COUNTIF(02_Lich_PM!$E$5:$E$1000,DATE(2026,2,11))&gt;0</formula>
    </cfRule>
    <cfRule type="expression" priority="85" aboveAverage="0" equalAverage="0" bottom="0" percent="0" rank="0" text="" dxfId="4">
      <formula>DATE(2026,2,11)=TODAY()</formula>
    </cfRule>
  </conditionalFormatting>
  <conditionalFormatting sqref="L10">
    <cfRule type="expression" priority="86" aboveAverage="0" equalAverage="0" bottom="0" percent="0" rank="0" text="" dxfId="3">
      <formula>COUNTIF(02_Lich_PM!$E$5:$E$1000,DATE(2026,2,12))&gt;0</formula>
    </cfRule>
    <cfRule type="expression" priority="87" aboveAverage="0" equalAverage="0" bottom="0" percent="0" rank="0" text="" dxfId="4">
      <formula>DATE(2026,2,12)=TODAY()</formula>
    </cfRule>
  </conditionalFormatting>
  <conditionalFormatting sqref="M10">
    <cfRule type="expression" priority="88" aboveAverage="0" equalAverage="0" bottom="0" percent="0" rank="0" text="" dxfId="3">
      <formula>COUNTIF(02_Lich_PM!$E$5:$E$1000,DATE(2026,2,13))&gt;0</formula>
    </cfRule>
    <cfRule type="expression" priority="89" aboveAverage="0" equalAverage="0" bottom="0" percent="0" rank="0" text="" dxfId="4">
      <formula>DATE(2026,2,13)=TODAY()</formula>
    </cfRule>
  </conditionalFormatting>
  <conditionalFormatting sqref="N10">
    <cfRule type="expression" priority="90" aboveAverage="0" equalAverage="0" bottom="0" percent="0" rank="0" text="" dxfId="3">
      <formula>COUNTIF(02_Lich_PM!$E$5:$E$1000,DATE(2026,2,14))&gt;0</formula>
    </cfRule>
    <cfRule type="expression" priority="91" aboveAverage="0" equalAverage="0" bottom="0" percent="0" rank="0" text="" dxfId="4">
      <formula>DATE(2026,2,14)=TODAY()</formula>
    </cfRule>
  </conditionalFormatting>
  <conditionalFormatting sqref="O10">
    <cfRule type="expression" priority="92" aboveAverage="0" equalAverage="0" bottom="0" percent="0" rank="0" text="" dxfId="3">
      <formula>COUNTIF(02_Lich_PM!$E$5:$E$1000,DATE(2026,2,15))&gt;0</formula>
    </cfRule>
    <cfRule type="expression" priority="93" aboveAverage="0" equalAverage="0" bottom="0" percent="0" rank="0" text="" dxfId="4">
      <formula>DATE(2026,2,15)=TODAY()</formula>
    </cfRule>
  </conditionalFormatting>
  <conditionalFormatting sqref="I11">
    <cfRule type="expression" priority="94" aboveAverage="0" equalAverage="0" bottom="0" percent="0" rank="0" text="" dxfId="3">
      <formula>COUNTIF(02_Lich_PM!$E$5:$E$1000,DATE(2026,2,16))&gt;0</formula>
    </cfRule>
    <cfRule type="expression" priority="95" aboveAverage="0" equalAverage="0" bottom="0" percent="0" rank="0" text="" dxfId="4">
      <formula>DATE(2026,2,16)=TODAY()</formula>
    </cfRule>
  </conditionalFormatting>
  <conditionalFormatting sqref="J11">
    <cfRule type="expression" priority="96" aboveAverage="0" equalAverage="0" bottom="0" percent="0" rank="0" text="" dxfId="3">
      <formula>COUNTIF(02_Lich_PM!$E$5:$E$1000,DATE(2026,2,17))&gt;0</formula>
    </cfRule>
    <cfRule type="expression" priority="97" aboveAverage="0" equalAverage="0" bottom="0" percent="0" rank="0" text="" dxfId="4">
      <formula>DATE(2026,2,17)=TODAY()</formula>
    </cfRule>
  </conditionalFormatting>
  <conditionalFormatting sqref="K11">
    <cfRule type="expression" priority="98" aboveAverage="0" equalAverage="0" bottom="0" percent="0" rank="0" text="" dxfId="3">
      <formula>COUNTIF(02_Lich_PM!$E$5:$E$1000,DATE(2026,2,18))&gt;0</formula>
    </cfRule>
    <cfRule type="expression" priority="99" aboveAverage="0" equalAverage="0" bottom="0" percent="0" rank="0" text="" dxfId="4">
      <formula>DATE(2026,2,18)=TODAY()</formula>
    </cfRule>
  </conditionalFormatting>
  <conditionalFormatting sqref="L11">
    <cfRule type="expression" priority="100" aboveAverage="0" equalAverage="0" bottom="0" percent="0" rank="0" text="" dxfId="3">
      <formula>COUNTIF(02_Lich_PM!$E$5:$E$1000,DATE(2026,2,19))&gt;0</formula>
    </cfRule>
    <cfRule type="expression" priority="101" aboveAverage="0" equalAverage="0" bottom="0" percent="0" rank="0" text="" dxfId="4">
      <formula>DATE(2026,2,19)=TODAY()</formula>
    </cfRule>
  </conditionalFormatting>
  <conditionalFormatting sqref="M11">
    <cfRule type="expression" priority="102" aboveAverage="0" equalAverage="0" bottom="0" percent="0" rank="0" text="" dxfId="3">
      <formula>COUNTIF(02_Lich_PM!$E$5:$E$1000,DATE(2026,2,20))&gt;0</formula>
    </cfRule>
    <cfRule type="expression" priority="103" aboveAverage="0" equalAverage="0" bottom="0" percent="0" rank="0" text="" dxfId="4">
      <formula>DATE(2026,2,20)=TODAY()</formula>
    </cfRule>
  </conditionalFormatting>
  <conditionalFormatting sqref="N11">
    <cfRule type="expression" priority="104" aboveAverage="0" equalAverage="0" bottom="0" percent="0" rank="0" text="" dxfId="3">
      <formula>COUNTIF(02_Lich_PM!$E$5:$E$1000,DATE(2026,2,21))&gt;0</formula>
    </cfRule>
    <cfRule type="expression" priority="105" aboveAverage="0" equalAverage="0" bottom="0" percent="0" rank="0" text="" dxfId="4">
      <formula>DATE(2026,2,21)=TODAY()</formula>
    </cfRule>
  </conditionalFormatting>
  <conditionalFormatting sqref="O11">
    <cfRule type="expression" priority="106" aboveAverage="0" equalAverage="0" bottom="0" percent="0" rank="0" text="" dxfId="3">
      <formula>COUNTIF(02_Lich_PM!$E$5:$E$1000,DATE(2026,2,22))&gt;0</formula>
    </cfRule>
    <cfRule type="expression" priority="107" aboveAverage="0" equalAverage="0" bottom="0" percent="0" rank="0" text="" dxfId="4">
      <formula>DATE(2026,2,22)=TODAY()</formula>
    </cfRule>
  </conditionalFormatting>
  <conditionalFormatting sqref="I12">
    <cfRule type="expression" priority="108" aboveAverage="0" equalAverage="0" bottom="0" percent="0" rank="0" text="" dxfId="3">
      <formula>COUNTIF(02_Lich_PM!$E$5:$E$1000,DATE(2026,2,23))&gt;0</formula>
    </cfRule>
    <cfRule type="expression" priority="109" aboveAverage="0" equalAverage="0" bottom="0" percent="0" rank="0" text="" dxfId="4">
      <formula>DATE(2026,2,23)=TODAY()</formula>
    </cfRule>
  </conditionalFormatting>
  <conditionalFormatting sqref="J12">
    <cfRule type="expression" priority="110" aboveAverage="0" equalAverage="0" bottom="0" percent="0" rank="0" text="" dxfId="3">
      <formula>COUNTIF(02_Lich_PM!$E$5:$E$1000,DATE(2026,2,24))&gt;0</formula>
    </cfRule>
    <cfRule type="expression" priority="111" aboveAverage="0" equalAverage="0" bottom="0" percent="0" rank="0" text="" dxfId="4">
      <formula>DATE(2026,2,24)=TODAY()</formula>
    </cfRule>
  </conditionalFormatting>
  <conditionalFormatting sqref="K12">
    <cfRule type="expression" priority="112" aboveAverage="0" equalAverage="0" bottom="0" percent="0" rank="0" text="" dxfId="3">
      <formula>COUNTIF(02_Lich_PM!$E$5:$E$1000,DATE(2026,2,25))&gt;0</formula>
    </cfRule>
    <cfRule type="expression" priority="113" aboveAverage="0" equalAverage="0" bottom="0" percent="0" rank="0" text="" dxfId="4">
      <formula>DATE(2026,2,25)=TODAY()</formula>
    </cfRule>
  </conditionalFormatting>
  <conditionalFormatting sqref="L12">
    <cfRule type="expression" priority="114" aboveAverage="0" equalAverage="0" bottom="0" percent="0" rank="0" text="" dxfId="3">
      <formula>COUNTIF(02_Lich_PM!$E$5:$E$1000,DATE(2026,2,26))&gt;0</formula>
    </cfRule>
    <cfRule type="expression" priority="115" aboveAverage="0" equalAverage="0" bottom="0" percent="0" rank="0" text="" dxfId="4">
      <formula>DATE(2026,2,26)=TODAY()</formula>
    </cfRule>
  </conditionalFormatting>
  <conditionalFormatting sqref="M12">
    <cfRule type="expression" priority="116" aboveAverage="0" equalAverage="0" bottom="0" percent="0" rank="0" text="" dxfId="3">
      <formula>COUNTIF(02_Lich_PM!$E$5:$E$1000,DATE(2026,2,27))&gt;0</formula>
    </cfRule>
    <cfRule type="expression" priority="117" aboveAverage="0" equalAverage="0" bottom="0" percent="0" rank="0" text="" dxfId="4">
      <formula>DATE(2026,2,27)=TODAY()</formula>
    </cfRule>
  </conditionalFormatting>
  <conditionalFormatting sqref="N12">
    <cfRule type="expression" priority="118" aboveAverage="0" equalAverage="0" bottom="0" percent="0" rank="0" text="" dxfId="3">
      <formula>COUNTIF(02_Lich_PM!$E$5:$E$1000,DATE(2026,2,28))&gt;0</formula>
    </cfRule>
    <cfRule type="expression" priority="119" aboveAverage="0" equalAverage="0" bottom="0" percent="0" rank="0" text="" dxfId="4">
      <formula>DATE(2026,2,28)=TODAY()</formula>
    </cfRule>
  </conditionalFormatting>
  <conditionalFormatting sqref="W8">
    <cfRule type="expression" priority="120" aboveAverage="0" equalAverage="0" bottom="0" percent="0" rank="0" text="" dxfId="3">
      <formula>COUNTIF(02_Lich_PM!$E$5:$E$1000,DATE(2026,3,1))&gt;0</formula>
    </cfRule>
    <cfRule type="expression" priority="121" aboveAverage="0" equalAverage="0" bottom="0" percent="0" rank="0" text="" dxfId="4">
      <formula>DATE(2026,3,1)=TODAY()</formula>
    </cfRule>
  </conditionalFormatting>
  <conditionalFormatting sqref="Q9">
    <cfRule type="expression" priority="122" aboveAverage="0" equalAverage="0" bottom="0" percent="0" rank="0" text="" dxfId="3">
      <formula>COUNTIF(02_Lich_PM!$E$5:$E$1000,DATE(2026,3,2))&gt;0</formula>
    </cfRule>
    <cfRule type="expression" priority="123" aboveAverage="0" equalAverage="0" bottom="0" percent="0" rank="0" text="" dxfId="4">
      <formula>DATE(2026,3,2)=TODAY()</formula>
    </cfRule>
  </conditionalFormatting>
  <conditionalFormatting sqref="R9">
    <cfRule type="expression" priority="124" aboveAverage="0" equalAverage="0" bottom="0" percent="0" rank="0" text="" dxfId="3">
      <formula>COUNTIF(02_Lich_PM!$E$5:$E$1000,DATE(2026,3,3))&gt;0</formula>
    </cfRule>
    <cfRule type="expression" priority="125" aboveAverage="0" equalAverage="0" bottom="0" percent="0" rank="0" text="" dxfId="4">
      <formula>DATE(2026,3,3)=TODAY()</formula>
    </cfRule>
  </conditionalFormatting>
  <conditionalFormatting sqref="S9">
    <cfRule type="expression" priority="126" aboveAverage="0" equalAverage="0" bottom="0" percent="0" rank="0" text="" dxfId="3">
      <formula>COUNTIF(02_Lich_PM!$E$5:$E$1000,DATE(2026,3,4))&gt;0</formula>
    </cfRule>
    <cfRule type="expression" priority="127" aboveAverage="0" equalAverage="0" bottom="0" percent="0" rank="0" text="" dxfId="4">
      <formula>DATE(2026,3,4)=TODAY()</formula>
    </cfRule>
  </conditionalFormatting>
  <conditionalFormatting sqref="T9">
    <cfRule type="expression" priority="128" aboveAverage="0" equalAverage="0" bottom="0" percent="0" rank="0" text="" dxfId="3">
      <formula>COUNTIF(02_Lich_PM!$E$5:$E$1000,DATE(2026,3,5))&gt;0</formula>
    </cfRule>
    <cfRule type="expression" priority="129" aboveAverage="0" equalAverage="0" bottom="0" percent="0" rank="0" text="" dxfId="4">
      <formula>DATE(2026,3,5)=TODAY()</formula>
    </cfRule>
  </conditionalFormatting>
  <conditionalFormatting sqref="U9">
    <cfRule type="expression" priority="130" aboveAverage="0" equalAverage="0" bottom="0" percent="0" rank="0" text="" dxfId="3">
      <formula>COUNTIF(02_Lich_PM!$E$5:$E$1000,DATE(2026,3,6))&gt;0</formula>
    </cfRule>
    <cfRule type="expression" priority="131" aboveAverage="0" equalAverage="0" bottom="0" percent="0" rank="0" text="" dxfId="4">
      <formula>DATE(2026,3,6)=TODAY()</formula>
    </cfRule>
  </conditionalFormatting>
  <conditionalFormatting sqref="V9">
    <cfRule type="expression" priority="132" aboveAverage="0" equalAverage="0" bottom="0" percent="0" rank="0" text="" dxfId="3">
      <formula>COUNTIF(02_Lich_PM!$E$5:$E$1000,DATE(2026,3,7))&gt;0</formula>
    </cfRule>
    <cfRule type="expression" priority="133" aboveAverage="0" equalAverage="0" bottom="0" percent="0" rank="0" text="" dxfId="4">
      <formula>DATE(2026,3,7)=TODAY()</formula>
    </cfRule>
  </conditionalFormatting>
  <conditionalFormatting sqref="W9">
    <cfRule type="expression" priority="134" aboveAverage="0" equalAverage="0" bottom="0" percent="0" rank="0" text="" dxfId="3">
      <formula>COUNTIF(02_Lich_PM!$E$5:$E$1000,DATE(2026,3,8))&gt;0</formula>
    </cfRule>
    <cfRule type="expression" priority="135" aboveAverage="0" equalAverage="0" bottom="0" percent="0" rank="0" text="" dxfId="4">
      <formula>DATE(2026,3,8)=TODAY()</formula>
    </cfRule>
  </conditionalFormatting>
  <conditionalFormatting sqref="Q10">
    <cfRule type="expression" priority="136" aboveAverage="0" equalAverage="0" bottom="0" percent="0" rank="0" text="" dxfId="3">
      <formula>COUNTIF(02_Lich_PM!$E$5:$E$1000,DATE(2026,3,9))&gt;0</formula>
    </cfRule>
    <cfRule type="expression" priority="137" aboveAverage="0" equalAverage="0" bottom="0" percent="0" rank="0" text="" dxfId="4">
      <formula>DATE(2026,3,9)=TODAY()</formula>
    </cfRule>
  </conditionalFormatting>
  <conditionalFormatting sqref="R10">
    <cfRule type="expression" priority="138" aboveAverage="0" equalAverage="0" bottom="0" percent="0" rank="0" text="" dxfId="3">
      <formula>COUNTIF(02_Lich_PM!$E$5:$E$1000,DATE(2026,3,10))&gt;0</formula>
    </cfRule>
    <cfRule type="expression" priority="139" aboveAverage="0" equalAverage="0" bottom="0" percent="0" rank="0" text="" dxfId="4">
      <formula>DATE(2026,3,10)=TODAY()</formula>
    </cfRule>
  </conditionalFormatting>
  <conditionalFormatting sqref="S10">
    <cfRule type="expression" priority="140" aboveAverage="0" equalAverage="0" bottom="0" percent="0" rank="0" text="" dxfId="3">
      <formula>COUNTIF(02_Lich_PM!$E$5:$E$1000,DATE(2026,3,11))&gt;0</formula>
    </cfRule>
    <cfRule type="expression" priority="141" aboveAverage="0" equalAverage="0" bottom="0" percent="0" rank="0" text="" dxfId="4">
      <formula>DATE(2026,3,11)=TODAY()</formula>
    </cfRule>
  </conditionalFormatting>
  <conditionalFormatting sqref="T10">
    <cfRule type="expression" priority="142" aboveAverage="0" equalAverage="0" bottom="0" percent="0" rank="0" text="" dxfId="3">
      <formula>COUNTIF(02_Lich_PM!$E$5:$E$1000,DATE(2026,3,12))&gt;0</formula>
    </cfRule>
    <cfRule type="expression" priority="143" aboveAverage="0" equalAverage="0" bottom="0" percent="0" rank="0" text="" dxfId="4">
      <formula>DATE(2026,3,12)=TODAY()</formula>
    </cfRule>
  </conditionalFormatting>
  <conditionalFormatting sqref="U10">
    <cfRule type="expression" priority="144" aboveAverage="0" equalAverage="0" bottom="0" percent="0" rank="0" text="" dxfId="3">
      <formula>COUNTIF(02_Lich_PM!$E$5:$E$1000,DATE(2026,3,13))&gt;0</formula>
    </cfRule>
    <cfRule type="expression" priority="145" aboveAverage="0" equalAverage="0" bottom="0" percent="0" rank="0" text="" dxfId="4">
      <formula>DATE(2026,3,13)=TODAY()</formula>
    </cfRule>
  </conditionalFormatting>
  <conditionalFormatting sqref="V10">
    <cfRule type="expression" priority="146" aboveAverage="0" equalAverage="0" bottom="0" percent="0" rank="0" text="" dxfId="3">
      <formula>COUNTIF(02_Lich_PM!$E$5:$E$1000,DATE(2026,3,14))&gt;0</formula>
    </cfRule>
    <cfRule type="expression" priority="147" aboveAverage="0" equalAverage="0" bottom="0" percent="0" rank="0" text="" dxfId="4">
      <formula>DATE(2026,3,14)=TODAY()</formula>
    </cfRule>
  </conditionalFormatting>
  <conditionalFormatting sqref="W10">
    <cfRule type="expression" priority="148" aboveAverage="0" equalAverage="0" bottom="0" percent="0" rank="0" text="" dxfId="3">
      <formula>COUNTIF(02_Lich_PM!$E$5:$E$1000,DATE(2026,3,15))&gt;0</formula>
    </cfRule>
    <cfRule type="expression" priority="149" aboveAverage="0" equalAverage="0" bottom="0" percent="0" rank="0" text="" dxfId="4">
      <formula>DATE(2026,3,15)=TODAY()</formula>
    </cfRule>
  </conditionalFormatting>
  <conditionalFormatting sqref="Q11">
    <cfRule type="expression" priority="150" aboveAverage="0" equalAverage="0" bottom="0" percent="0" rank="0" text="" dxfId="3">
      <formula>COUNTIF(02_Lich_PM!$E$5:$E$1000,DATE(2026,3,16))&gt;0</formula>
    </cfRule>
    <cfRule type="expression" priority="151" aboveAverage="0" equalAverage="0" bottom="0" percent="0" rank="0" text="" dxfId="4">
      <formula>DATE(2026,3,16)=TODAY()</formula>
    </cfRule>
  </conditionalFormatting>
  <conditionalFormatting sqref="R11">
    <cfRule type="expression" priority="152" aboveAverage="0" equalAverage="0" bottom="0" percent="0" rank="0" text="" dxfId="3">
      <formula>COUNTIF(02_Lich_PM!$E$5:$E$1000,DATE(2026,3,17))&gt;0</formula>
    </cfRule>
    <cfRule type="expression" priority="153" aboveAverage="0" equalAverage="0" bottom="0" percent="0" rank="0" text="" dxfId="4">
      <formula>DATE(2026,3,17)=TODAY()</formula>
    </cfRule>
  </conditionalFormatting>
  <conditionalFormatting sqref="S11">
    <cfRule type="expression" priority="154" aboveAverage="0" equalAverage="0" bottom="0" percent="0" rank="0" text="" dxfId="3">
      <formula>COUNTIF(02_Lich_PM!$E$5:$E$1000,DATE(2026,3,18))&gt;0</formula>
    </cfRule>
    <cfRule type="expression" priority="155" aboveAverage="0" equalAverage="0" bottom="0" percent="0" rank="0" text="" dxfId="4">
      <formula>DATE(2026,3,18)=TODAY()</formula>
    </cfRule>
  </conditionalFormatting>
  <conditionalFormatting sqref="T11">
    <cfRule type="expression" priority="156" aboveAverage="0" equalAverage="0" bottom="0" percent="0" rank="0" text="" dxfId="3">
      <formula>COUNTIF(02_Lich_PM!$E$5:$E$1000,DATE(2026,3,19))&gt;0</formula>
    </cfRule>
    <cfRule type="expression" priority="157" aboveAverage="0" equalAverage="0" bottom="0" percent="0" rank="0" text="" dxfId="4">
      <formula>DATE(2026,3,19)=TODAY()</formula>
    </cfRule>
  </conditionalFormatting>
  <conditionalFormatting sqref="U11">
    <cfRule type="expression" priority="158" aboveAverage="0" equalAverage="0" bottom="0" percent="0" rank="0" text="" dxfId="3">
      <formula>COUNTIF(02_Lich_PM!$E$5:$E$1000,DATE(2026,3,20))&gt;0</formula>
    </cfRule>
    <cfRule type="expression" priority="159" aboveAverage="0" equalAverage="0" bottom="0" percent="0" rank="0" text="" dxfId="4">
      <formula>DATE(2026,3,20)=TODAY()</formula>
    </cfRule>
  </conditionalFormatting>
  <conditionalFormatting sqref="V11">
    <cfRule type="expression" priority="160" aboveAverage="0" equalAverage="0" bottom="0" percent="0" rank="0" text="" dxfId="3">
      <formula>COUNTIF(02_Lich_PM!$E$5:$E$1000,DATE(2026,3,21))&gt;0</formula>
    </cfRule>
    <cfRule type="expression" priority="161" aboveAverage="0" equalAverage="0" bottom="0" percent="0" rank="0" text="" dxfId="4">
      <formula>DATE(2026,3,21)=TODAY()</formula>
    </cfRule>
  </conditionalFormatting>
  <conditionalFormatting sqref="W11">
    <cfRule type="expression" priority="162" aboveAverage="0" equalAverage="0" bottom="0" percent="0" rank="0" text="" dxfId="3">
      <formula>COUNTIF(02_Lich_PM!$E$5:$E$1000,DATE(2026,3,22))&gt;0</formula>
    </cfRule>
    <cfRule type="expression" priority="163" aboveAverage="0" equalAverage="0" bottom="0" percent="0" rank="0" text="" dxfId="4">
      <formula>DATE(2026,3,22)=TODAY()</formula>
    </cfRule>
  </conditionalFormatting>
  <conditionalFormatting sqref="Q12">
    <cfRule type="expression" priority="164" aboveAverage="0" equalAverage="0" bottom="0" percent="0" rank="0" text="" dxfId="3">
      <formula>COUNTIF(02_Lich_PM!$E$5:$E$1000,DATE(2026,3,23))&gt;0</formula>
    </cfRule>
    <cfRule type="expression" priority="165" aboveAverage="0" equalAverage="0" bottom="0" percent="0" rank="0" text="" dxfId="4">
      <formula>DATE(2026,3,23)=TODAY()</formula>
    </cfRule>
  </conditionalFormatting>
  <conditionalFormatting sqref="R12">
    <cfRule type="expression" priority="166" aboveAverage="0" equalAverage="0" bottom="0" percent="0" rank="0" text="" dxfId="3">
      <formula>COUNTIF(02_Lich_PM!$E$5:$E$1000,DATE(2026,3,24))&gt;0</formula>
    </cfRule>
    <cfRule type="expression" priority="167" aboveAverage="0" equalAverage="0" bottom="0" percent="0" rank="0" text="" dxfId="4">
      <formula>DATE(2026,3,24)=TODAY()</formula>
    </cfRule>
  </conditionalFormatting>
  <conditionalFormatting sqref="S12">
    <cfRule type="expression" priority="168" aboveAverage="0" equalAverage="0" bottom="0" percent="0" rank="0" text="" dxfId="3">
      <formula>COUNTIF(02_Lich_PM!$E$5:$E$1000,DATE(2026,3,25))&gt;0</formula>
    </cfRule>
    <cfRule type="expression" priority="169" aboveAverage="0" equalAverage="0" bottom="0" percent="0" rank="0" text="" dxfId="4">
      <formula>DATE(2026,3,25)=TODAY()</formula>
    </cfRule>
  </conditionalFormatting>
  <conditionalFormatting sqref="T12">
    <cfRule type="expression" priority="170" aboveAverage="0" equalAverage="0" bottom="0" percent="0" rank="0" text="" dxfId="3">
      <formula>COUNTIF(02_Lich_PM!$E$5:$E$1000,DATE(2026,3,26))&gt;0</formula>
    </cfRule>
    <cfRule type="expression" priority="171" aboveAverage="0" equalAverage="0" bottom="0" percent="0" rank="0" text="" dxfId="4">
      <formula>DATE(2026,3,26)=TODAY()</formula>
    </cfRule>
  </conditionalFormatting>
  <conditionalFormatting sqref="U12">
    <cfRule type="expression" priority="172" aboveAverage="0" equalAverage="0" bottom="0" percent="0" rank="0" text="" dxfId="3">
      <formula>COUNTIF(02_Lich_PM!$E$5:$E$1000,DATE(2026,3,27))&gt;0</formula>
    </cfRule>
    <cfRule type="expression" priority="173" aboveAverage="0" equalAverage="0" bottom="0" percent="0" rank="0" text="" dxfId="4">
      <formula>DATE(2026,3,27)=TODAY()</formula>
    </cfRule>
  </conditionalFormatting>
  <conditionalFormatting sqref="V12">
    <cfRule type="expression" priority="174" aboveAverage="0" equalAverage="0" bottom="0" percent="0" rank="0" text="" dxfId="3">
      <formula>COUNTIF(02_Lich_PM!$E$5:$E$1000,DATE(2026,3,28))&gt;0</formula>
    </cfRule>
    <cfRule type="expression" priority="175" aboveAverage="0" equalAverage="0" bottom="0" percent="0" rank="0" text="" dxfId="4">
      <formula>DATE(2026,3,28)=TODAY()</formula>
    </cfRule>
  </conditionalFormatting>
  <conditionalFormatting sqref="W12">
    <cfRule type="expression" priority="176" aboveAverage="0" equalAverage="0" bottom="0" percent="0" rank="0" text="" dxfId="3">
      <formula>COUNTIF(02_Lich_PM!$E$5:$E$1000,DATE(2026,3,29))&gt;0</formula>
    </cfRule>
    <cfRule type="expression" priority="177" aboveAverage="0" equalAverage="0" bottom="0" percent="0" rank="0" text="" dxfId="4">
      <formula>DATE(2026,3,29)=TODAY()</formula>
    </cfRule>
  </conditionalFormatting>
  <conditionalFormatting sqref="Q13">
    <cfRule type="expression" priority="178" aboveAverage="0" equalAverage="0" bottom="0" percent="0" rank="0" text="" dxfId="3">
      <formula>COUNTIF(02_Lich_PM!$E$5:$E$1000,DATE(2026,3,30))&gt;0</formula>
    </cfRule>
    <cfRule type="expression" priority="179" aboveAverage="0" equalAverage="0" bottom="0" percent="0" rank="0" text="" dxfId="4">
      <formula>DATE(2026,3,30)=TODAY()</formula>
    </cfRule>
  </conditionalFormatting>
  <conditionalFormatting sqref="R13">
    <cfRule type="expression" priority="180" aboveAverage="0" equalAverage="0" bottom="0" percent="0" rank="0" text="" dxfId="3">
      <formula>COUNTIF(02_Lich_PM!$E$5:$E$1000,DATE(2026,3,31))&gt;0</formula>
    </cfRule>
    <cfRule type="expression" priority="181" aboveAverage="0" equalAverage="0" bottom="0" percent="0" rank="0" text="" dxfId="4">
      <formula>DATE(2026,3,31)=TODAY()</formula>
    </cfRule>
  </conditionalFormatting>
  <conditionalFormatting sqref="C17">
    <cfRule type="expression" priority="182" aboveAverage="0" equalAverage="0" bottom="0" percent="0" rank="0" text="" dxfId="3">
      <formula>COUNTIF(02_Lich_PM!$E$5:$E$1000,DATE(2026,4,1))&gt;0</formula>
    </cfRule>
    <cfRule type="expression" priority="183" aboveAverage="0" equalAverage="0" bottom="0" percent="0" rank="0" text="" dxfId="4">
      <formula>DATE(2026,4,1)=TODAY()</formula>
    </cfRule>
  </conditionalFormatting>
  <conditionalFormatting sqref="D17">
    <cfRule type="expression" priority="184" aboveAverage="0" equalAverage="0" bottom="0" percent="0" rank="0" text="" dxfId="3">
      <formula>COUNTIF(02_Lich_PM!$E$5:$E$1000,DATE(2026,4,2))&gt;0</formula>
    </cfRule>
    <cfRule type="expression" priority="185" aboveAverage="0" equalAverage="0" bottom="0" percent="0" rank="0" text="" dxfId="4">
      <formula>DATE(2026,4,2)=TODAY()</formula>
    </cfRule>
  </conditionalFormatting>
  <conditionalFormatting sqref="E17">
    <cfRule type="expression" priority="186" aboveAverage="0" equalAverage="0" bottom="0" percent="0" rank="0" text="" dxfId="3">
      <formula>COUNTIF(02_Lich_PM!$E$5:$E$1000,DATE(2026,4,3))&gt;0</formula>
    </cfRule>
    <cfRule type="expression" priority="187" aboveAverage="0" equalAverage="0" bottom="0" percent="0" rank="0" text="" dxfId="4">
      <formula>DATE(2026,4,3)=TODAY()</formula>
    </cfRule>
  </conditionalFormatting>
  <conditionalFormatting sqref="F17">
    <cfRule type="expression" priority="188" aboveAverage="0" equalAverage="0" bottom="0" percent="0" rank="0" text="" dxfId="3">
      <formula>COUNTIF(02_Lich_PM!$E$5:$E$1000,DATE(2026,4,4))&gt;0</formula>
    </cfRule>
    <cfRule type="expression" priority="189" aboveAverage="0" equalAverage="0" bottom="0" percent="0" rank="0" text="" dxfId="4">
      <formula>DATE(2026,4,4)=TODAY()</formula>
    </cfRule>
  </conditionalFormatting>
  <conditionalFormatting sqref="G17">
    <cfRule type="expression" priority="190" aboveAverage="0" equalAverage="0" bottom="0" percent="0" rank="0" text="" dxfId="3">
      <formula>COUNTIF(02_Lich_PM!$E$5:$E$1000,DATE(2026,4,5))&gt;0</formula>
    </cfRule>
    <cfRule type="expression" priority="191" aboveAverage="0" equalAverage="0" bottom="0" percent="0" rank="0" text="" dxfId="4">
      <formula>DATE(2026,4,5)=TODAY()</formula>
    </cfRule>
  </conditionalFormatting>
  <conditionalFormatting sqref="A18">
    <cfRule type="expression" priority="192" aboveAverage="0" equalAverage="0" bottom="0" percent="0" rank="0" text="" dxfId="3">
      <formula>COUNTIF(02_Lich_PM!$E$5:$E$1000,DATE(2026,4,6))&gt;0</formula>
    </cfRule>
    <cfRule type="expression" priority="193" aboveAverage="0" equalAverage="0" bottom="0" percent="0" rank="0" text="" dxfId="4">
      <formula>DATE(2026,4,6)=TODAY()</formula>
    </cfRule>
  </conditionalFormatting>
  <conditionalFormatting sqref="B18">
    <cfRule type="expression" priority="194" aboveAverage="0" equalAverage="0" bottom="0" percent="0" rank="0" text="" dxfId="3">
      <formula>COUNTIF(02_Lich_PM!$E$5:$E$1000,DATE(2026,4,7))&gt;0</formula>
    </cfRule>
    <cfRule type="expression" priority="195" aboveAverage="0" equalAverage="0" bottom="0" percent="0" rank="0" text="" dxfId="4">
      <formula>DATE(2026,4,7)=TODAY()</formula>
    </cfRule>
  </conditionalFormatting>
  <conditionalFormatting sqref="C18">
    <cfRule type="expression" priority="196" aboveAverage="0" equalAverage="0" bottom="0" percent="0" rank="0" text="" dxfId="3">
      <formula>COUNTIF(02_Lich_PM!$E$5:$E$1000,DATE(2026,4,8))&gt;0</formula>
    </cfRule>
    <cfRule type="expression" priority="197" aboveAverage="0" equalAverage="0" bottom="0" percent="0" rank="0" text="" dxfId="4">
      <formula>DATE(2026,4,8)=TODAY()</formula>
    </cfRule>
  </conditionalFormatting>
  <conditionalFormatting sqref="D18">
    <cfRule type="expression" priority="198" aboveAverage="0" equalAverage="0" bottom="0" percent="0" rank="0" text="" dxfId="3">
      <formula>COUNTIF(02_Lich_PM!$E$5:$E$1000,DATE(2026,4,9))&gt;0</formula>
    </cfRule>
    <cfRule type="expression" priority="199" aboveAverage="0" equalAverage="0" bottom="0" percent="0" rank="0" text="" dxfId="4">
      <formula>DATE(2026,4,9)=TODAY()</formula>
    </cfRule>
  </conditionalFormatting>
  <conditionalFormatting sqref="E18">
    <cfRule type="expression" priority="200" aboveAverage="0" equalAverage="0" bottom="0" percent="0" rank="0" text="" dxfId="3">
      <formula>COUNTIF(02_Lich_PM!$E$5:$E$1000,DATE(2026,4,10))&gt;0</formula>
    </cfRule>
    <cfRule type="expression" priority="201" aboveAverage="0" equalAverage="0" bottom="0" percent="0" rank="0" text="" dxfId="4">
      <formula>DATE(2026,4,10)=TODAY()</formula>
    </cfRule>
  </conditionalFormatting>
  <conditionalFormatting sqref="F18">
    <cfRule type="expression" priority="202" aboveAverage="0" equalAverage="0" bottom="0" percent="0" rank="0" text="" dxfId="3">
      <formula>COUNTIF(02_Lich_PM!$E$5:$E$1000,DATE(2026,4,11))&gt;0</formula>
    </cfRule>
    <cfRule type="expression" priority="203" aboveAverage="0" equalAverage="0" bottom="0" percent="0" rank="0" text="" dxfId="4">
      <formula>DATE(2026,4,11)=TODAY()</formula>
    </cfRule>
  </conditionalFormatting>
  <conditionalFormatting sqref="G18">
    <cfRule type="expression" priority="204" aboveAverage="0" equalAverage="0" bottom="0" percent="0" rank="0" text="" dxfId="3">
      <formula>COUNTIF(02_Lich_PM!$E$5:$E$1000,DATE(2026,4,12))&gt;0</formula>
    </cfRule>
    <cfRule type="expression" priority="205" aboveAverage="0" equalAverage="0" bottom="0" percent="0" rank="0" text="" dxfId="4">
      <formula>DATE(2026,4,12)=TODAY()</formula>
    </cfRule>
  </conditionalFormatting>
  <conditionalFormatting sqref="A19">
    <cfRule type="expression" priority="206" aboveAverage="0" equalAverage="0" bottom="0" percent="0" rank="0" text="" dxfId="3">
      <formula>COUNTIF(02_Lich_PM!$E$5:$E$1000,DATE(2026,4,13))&gt;0</formula>
    </cfRule>
    <cfRule type="expression" priority="207" aboveAverage="0" equalAverage="0" bottom="0" percent="0" rank="0" text="" dxfId="4">
      <formula>DATE(2026,4,13)=TODAY()</formula>
    </cfRule>
  </conditionalFormatting>
  <conditionalFormatting sqref="B19">
    <cfRule type="expression" priority="208" aboveAverage="0" equalAverage="0" bottom="0" percent="0" rank="0" text="" dxfId="3">
      <formula>COUNTIF(02_Lich_PM!$E$5:$E$1000,DATE(2026,4,14))&gt;0</formula>
    </cfRule>
    <cfRule type="expression" priority="209" aboveAverage="0" equalAverage="0" bottom="0" percent="0" rank="0" text="" dxfId="4">
      <formula>DATE(2026,4,14)=TODAY()</formula>
    </cfRule>
  </conditionalFormatting>
  <conditionalFormatting sqref="C19">
    <cfRule type="expression" priority="210" aboveAverage="0" equalAverage="0" bottom="0" percent="0" rank="0" text="" dxfId="3">
      <formula>COUNTIF(02_Lich_PM!$E$5:$E$1000,DATE(2026,4,15))&gt;0</formula>
    </cfRule>
    <cfRule type="expression" priority="211" aboveAverage="0" equalAverage="0" bottom="0" percent="0" rank="0" text="" dxfId="4">
      <formula>DATE(2026,4,15)=TODAY()</formula>
    </cfRule>
  </conditionalFormatting>
  <conditionalFormatting sqref="D19">
    <cfRule type="expression" priority="212" aboveAverage="0" equalAverage="0" bottom="0" percent="0" rank="0" text="" dxfId="3">
      <formula>COUNTIF(02_Lich_PM!$E$5:$E$1000,DATE(2026,4,16))&gt;0</formula>
    </cfRule>
    <cfRule type="expression" priority="213" aboveAverage="0" equalAverage="0" bottom="0" percent="0" rank="0" text="" dxfId="4">
      <formula>DATE(2026,4,16)=TODAY()</formula>
    </cfRule>
  </conditionalFormatting>
  <conditionalFormatting sqref="E19">
    <cfRule type="expression" priority="214" aboveAverage="0" equalAverage="0" bottom="0" percent="0" rank="0" text="" dxfId="3">
      <formula>COUNTIF(02_Lich_PM!$E$5:$E$1000,DATE(2026,4,17))&gt;0</formula>
    </cfRule>
    <cfRule type="expression" priority="215" aboveAverage="0" equalAverage="0" bottom="0" percent="0" rank="0" text="" dxfId="4">
      <formula>DATE(2026,4,17)=TODAY()</formula>
    </cfRule>
  </conditionalFormatting>
  <conditionalFormatting sqref="F19">
    <cfRule type="expression" priority="216" aboveAverage="0" equalAverage="0" bottom="0" percent="0" rank="0" text="" dxfId="3">
      <formula>COUNTIF(02_Lich_PM!$E$5:$E$1000,DATE(2026,4,18))&gt;0</formula>
    </cfRule>
    <cfRule type="expression" priority="217" aboveAverage="0" equalAverage="0" bottom="0" percent="0" rank="0" text="" dxfId="4">
      <formula>DATE(2026,4,18)=TODAY()</formula>
    </cfRule>
  </conditionalFormatting>
  <conditionalFormatting sqref="G19">
    <cfRule type="expression" priority="218" aboveAverage="0" equalAverage="0" bottom="0" percent="0" rank="0" text="" dxfId="3">
      <formula>COUNTIF(02_Lich_PM!$E$5:$E$1000,DATE(2026,4,19))&gt;0</formula>
    </cfRule>
    <cfRule type="expression" priority="219" aboveAverage="0" equalAverage="0" bottom="0" percent="0" rank="0" text="" dxfId="4">
      <formula>DATE(2026,4,19)=TODAY()</formula>
    </cfRule>
  </conditionalFormatting>
  <conditionalFormatting sqref="A20">
    <cfRule type="expression" priority="220" aboveAverage="0" equalAverage="0" bottom="0" percent="0" rank="0" text="" dxfId="3">
      <formula>COUNTIF(02_Lich_PM!$E$5:$E$1000,DATE(2026,4,20))&gt;0</formula>
    </cfRule>
    <cfRule type="expression" priority="221" aboveAverage="0" equalAverage="0" bottom="0" percent="0" rank="0" text="" dxfId="4">
      <formula>DATE(2026,4,20)=TODAY()</formula>
    </cfRule>
  </conditionalFormatting>
  <conditionalFormatting sqref="B20">
    <cfRule type="expression" priority="222" aboveAverage="0" equalAverage="0" bottom="0" percent="0" rank="0" text="" dxfId="3">
      <formula>COUNTIF(02_Lich_PM!$E$5:$E$1000,DATE(2026,4,21))&gt;0</formula>
    </cfRule>
    <cfRule type="expression" priority="223" aboveAverage="0" equalAverage="0" bottom="0" percent="0" rank="0" text="" dxfId="4">
      <formula>DATE(2026,4,21)=TODAY()</formula>
    </cfRule>
  </conditionalFormatting>
  <conditionalFormatting sqref="C20">
    <cfRule type="expression" priority="224" aboveAverage="0" equalAverage="0" bottom="0" percent="0" rank="0" text="" dxfId="3">
      <formula>COUNTIF(02_Lich_PM!$E$5:$E$1000,DATE(2026,4,22))&gt;0</formula>
    </cfRule>
    <cfRule type="expression" priority="225" aboveAverage="0" equalAverage="0" bottom="0" percent="0" rank="0" text="" dxfId="4">
      <formula>DATE(2026,4,22)=TODAY()</formula>
    </cfRule>
  </conditionalFormatting>
  <conditionalFormatting sqref="D20">
    <cfRule type="expression" priority="226" aboveAverage="0" equalAverage="0" bottom="0" percent="0" rank="0" text="" dxfId="3">
      <formula>COUNTIF(02_Lich_PM!$E$5:$E$1000,DATE(2026,4,23))&gt;0</formula>
    </cfRule>
    <cfRule type="expression" priority="227" aboveAverage="0" equalAverage="0" bottom="0" percent="0" rank="0" text="" dxfId="4">
      <formula>DATE(2026,4,23)=TODAY()</formula>
    </cfRule>
  </conditionalFormatting>
  <conditionalFormatting sqref="E20">
    <cfRule type="expression" priority="228" aboveAverage="0" equalAverage="0" bottom="0" percent="0" rank="0" text="" dxfId="3">
      <formula>COUNTIF(02_Lich_PM!$E$5:$E$1000,DATE(2026,4,24))&gt;0</formula>
    </cfRule>
    <cfRule type="expression" priority="229" aboveAverage="0" equalAverage="0" bottom="0" percent="0" rank="0" text="" dxfId="4">
      <formula>DATE(2026,4,24)=TODAY()</formula>
    </cfRule>
  </conditionalFormatting>
  <conditionalFormatting sqref="F20">
    <cfRule type="expression" priority="230" aboveAverage="0" equalAverage="0" bottom="0" percent="0" rank="0" text="" dxfId="3">
      <formula>COUNTIF(02_Lich_PM!$E$5:$E$1000,DATE(2026,4,25))&gt;0</formula>
    </cfRule>
    <cfRule type="expression" priority="231" aboveAverage="0" equalAverage="0" bottom="0" percent="0" rank="0" text="" dxfId="4">
      <formula>DATE(2026,4,25)=TODAY()</formula>
    </cfRule>
  </conditionalFormatting>
  <conditionalFormatting sqref="G20">
    <cfRule type="expression" priority="232" aboveAverage="0" equalAverage="0" bottom="0" percent="0" rank="0" text="" dxfId="3">
      <formula>COUNTIF(02_Lich_PM!$E$5:$E$1000,DATE(2026,4,26))&gt;0</formula>
    </cfRule>
    <cfRule type="expression" priority="233" aboveAverage="0" equalAverage="0" bottom="0" percent="0" rank="0" text="" dxfId="4">
      <formula>DATE(2026,4,26)=TODAY()</formula>
    </cfRule>
  </conditionalFormatting>
  <conditionalFormatting sqref="A21">
    <cfRule type="expression" priority="234" aboveAverage="0" equalAverage="0" bottom="0" percent="0" rank="0" text="" dxfId="3">
      <formula>COUNTIF(02_Lich_PM!$E$5:$E$1000,DATE(2026,4,27))&gt;0</formula>
    </cfRule>
    <cfRule type="expression" priority="235" aboveAverage="0" equalAverage="0" bottom="0" percent="0" rank="0" text="" dxfId="4">
      <formula>DATE(2026,4,27)=TODAY()</formula>
    </cfRule>
  </conditionalFormatting>
  <conditionalFormatting sqref="B21">
    <cfRule type="expression" priority="236" aboveAverage="0" equalAverage="0" bottom="0" percent="0" rank="0" text="" dxfId="3">
      <formula>COUNTIF(02_Lich_PM!$E$5:$E$1000,DATE(2026,4,28))&gt;0</formula>
    </cfRule>
    <cfRule type="expression" priority="237" aboveAverage="0" equalAverage="0" bottom="0" percent="0" rank="0" text="" dxfId="4">
      <formula>DATE(2026,4,28)=TODAY()</formula>
    </cfRule>
  </conditionalFormatting>
  <conditionalFormatting sqref="C21">
    <cfRule type="expression" priority="238" aboveAverage="0" equalAverage="0" bottom="0" percent="0" rank="0" text="" dxfId="3">
      <formula>COUNTIF(02_Lich_PM!$E$5:$E$1000,DATE(2026,4,29))&gt;0</formula>
    </cfRule>
    <cfRule type="expression" priority="239" aboveAverage="0" equalAverage="0" bottom="0" percent="0" rank="0" text="" dxfId="4">
      <formula>DATE(2026,4,29)=TODAY()</formula>
    </cfRule>
  </conditionalFormatting>
  <conditionalFormatting sqref="D21">
    <cfRule type="expression" priority="240" aboveAverage="0" equalAverage="0" bottom="0" percent="0" rank="0" text="" dxfId="3">
      <formula>COUNTIF(02_Lich_PM!$E$5:$E$1000,DATE(2026,4,30))&gt;0</formula>
    </cfRule>
    <cfRule type="expression" priority="241" aboveAverage="0" equalAverage="0" bottom="0" percent="0" rank="0" text="" dxfId="4">
      <formula>DATE(2026,4,30)=TODAY()</formula>
    </cfRule>
  </conditionalFormatting>
  <conditionalFormatting sqref="M17">
    <cfRule type="expression" priority="242" aboveAverage="0" equalAverage="0" bottom="0" percent="0" rank="0" text="" dxfId="3">
      <formula>COUNTIF(02_Lich_PM!$E$5:$E$1000,DATE(2026,5,1))&gt;0</formula>
    </cfRule>
    <cfRule type="expression" priority="243" aboveAverage="0" equalAverage="0" bottom="0" percent="0" rank="0" text="" dxfId="4">
      <formula>DATE(2026,5,1)=TODAY()</formula>
    </cfRule>
  </conditionalFormatting>
  <conditionalFormatting sqref="N17">
    <cfRule type="expression" priority="244" aboveAverage="0" equalAverage="0" bottom="0" percent="0" rank="0" text="" dxfId="3">
      <formula>COUNTIF(02_Lich_PM!$E$5:$E$1000,DATE(2026,5,2))&gt;0</formula>
    </cfRule>
    <cfRule type="expression" priority="245" aboveAverage="0" equalAverage="0" bottom="0" percent="0" rank="0" text="" dxfId="4">
      <formula>DATE(2026,5,2)=TODAY()</formula>
    </cfRule>
  </conditionalFormatting>
  <conditionalFormatting sqref="O17">
    <cfRule type="expression" priority="246" aboveAverage="0" equalAverage="0" bottom="0" percent="0" rank="0" text="" dxfId="3">
      <formula>COUNTIF(02_Lich_PM!$E$5:$E$1000,DATE(2026,5,3))&gt;0</formula>
    </cfRule>
    <cfRule type="expression" priority="247" aboveAverage="0" equalAverage="0" bottom="0" percent="0" rank="0" text="" dxfId="4">
      <formula>DATE(2026,5,3)=TODAY()</formula>
    </cfRule>
  </conditionalFormatting>
  <conditionalFormatting sqref="I18">
    <cfRule type="expression" priority="248" aboveAverage="0" equalAverage="0" bottom="0" percent="0" rank="0" text="" dxfId="3">
      <formula>COUNTIF(02_Lich_PM!$E$5:$E$1000,DATE(2026,5,4))&gt;0</formula>
    </cfRule>
    <cfRule type="expression" priority="249" aboveAverage="0" equalAverage="0" bottom="0" percent="0" rank="0" text="" dxfId="4">
      <formula>DATE(2026,5,4)=TODAY()</formula>
    </cfRule>
  </conditionalFormatting>
  <conditionalFormatting sqref="J18">
    <cfRule type="expression" priority="250" aboveAverage="0" equalAverage="0" bottom="0" percent="0" rank="0" text="" dxfId="3">
      <formula>COUNTIF(02_Lich_PM!$E$5:$E$1000,DATE(2026,5,5))&gt;0</formula>
    </cfRule>
    <cfRule type="expression" priority="251" aboveAverage="0" equalAverage="0" bottom="0" percent="0" rank="0" text="" dxfId="4">
      <formula>DATE(2026,5,5)=TODAY()</formula>
    </cfRule>
  </conditionalFormatting>
  <conditionalFormatting sqref="K18">
    <cfRule type="expression" priority="252" aboveAverage="0" equalAverage="0" bottom="0" percent="0" rank="0" text="" dxfId="3">
      <formula>COUNTIF(02_Lich_PM!$E$5:$E$1000,DATE(2026,5,6))&gt;0</formula>
    </cfRule>
    <cfRule type="expression" priority="253" aboveAverage="0" equalAverage="0" bottom="0" percent="0" rank="0" text="" dxfId="4">
      <formula>DATE(2026,5,6)=TODAY()</formula>
    </cfRule>
  </conditionalFormatting>
  <conditionalFormatting sqref="L18">
    <cfRule type="expression" priority="254" aboveAverage="0" equalAverage="0" bottom="0" percent="0" rank="0" text="" dxfId="3">
      <formula>COUNTIF(02_Lich_PM!$E$5:$E$1000,DATE(2026,5,7))&gt;0</formula>
    </cfRule>
    <cfRule type="expression" priority="255" aboveAverage="0" equalAverage="0" bottom="0" percent="0" rank="0" text="" dxfId="4">
      <formula>DATE(2026,5,7)=TODAY()</formula>
    </cfRule>
  </conditionalFormatting>
  <conditionalFormatting sqref="M18">
    <cfRule type="expression" priority="256" aboveAverage="0" equalAverage="0" bottom="0" percent="0" rank="0" text="" dxfId="3">
      <formula>COUNTIF(02_Lich_PM!$E$5:$E$1000,DATE(2026,5,8))&gt;0</formula>
    </cfRule>
    <cfRule type="expression" priority="257" aboveAverage="0" equalAverage="0" bottom="0" percent="0" rank="0" text="" dxfId="4">
      <formula>DATE(2026,5,8)=TODAY()</formula>
    </cfRule>
  </conditionalFormatting>
  <conditionalFormatting sqref="N18">
    <cfRule type="expression" priority="258" aboveAverage="0" equalAverage="0" bottom="0" percent="0" rank="0" text="" dxfId="3">
      <formula>COUNTIF(02_Lich_PM!$E$5:$E$1000,DATE(2026,5,9))&gt;0</formula>
    </cfRule>
    <cfRule type="expression" priority="259" aboveAverage="0" equalAverage="0" bottom="0" percent="0" rank="0" text="" dxfId="4">
      <formula>DATE(2026,5,9)=TODAY()</formula>
    </cfRule>
  </conditionalFormatting>
  <conditionalFormatting sqref="O18">
    <cfRule type="expression" priority="260" aboveAverage="0" equalAverage="0" bottom="0" percent="0" rank="0" text="" dxfId="3">
      <formula>COUNTIF(02_Lich_PM!$E$5:$E$1000,DATE(2026,5,10))&gt;0</formula>
    </cfRule>
    <cfRule type="expression" priority="261" aboveAverage="0" equalAverage="0" bottom="0" percent="0" rank="0" text="" dxfId="4">
      <formula>DATE(2026,5,10)=TODAY()</formula>
    </cfRule>
  </conditionalFormatting>
  <conditionalFormatting sqref="I19">
    <cfRule type="expression" priority="262" aboveAverage="0" equalAverage="0" bottom="0" percent="0" rank="0" text="" dxfId="3">
      <formula>COUNTIF(02_Lich_PM!$E$5:$E$1000,DATE(2026,5,11))&gt;0</formula>
    </cfRule>
    <cfRule type="expression" priority="263" aboveAverage="0" equalAverage="0" bottom="0" percent="0" rank="0" text="" dxfId="4">
      <formula>DATE(2026,5,11)=TODAY()</formula>
    </cfRule>
  </conditionalFormatting>
  <conditionalFormatting sqref="J19">
    <cfRule type="expression" priority="264" aboveAverage="0" equalAverage="0" bottom="0" percent="0" rank="0" text="" dxfId="3">
      <formula>COUNTIF(02_Lich_PM!$E$5:$E$1000,DATE(2026,5,12))&gt;0</formula>
    </cfRule>
    <cfRule type="expression" priority="265" aboveAverage="0" equalAverage="0" bottom="0" percent="0" rank="0" text="" dxfId="4">
      <formula>DATE(2026,5,12)=TODAY()</formula>
    </cfRule>
  </conditionalFormatting>
  <conditionalFormatting sqref="K19">
    <cfRule type="expression" priority="266" aboveAverage="0" equalAverage="0" bottom="0" percent="0" rank="0" text="" dxfId="3">
      <formula>COUNTIF(02_Lich_PM!$E$5:$E$1000,DATE(2026,5,13))&gt;0</formula>
    </cfRule>
    <cfRule type="expression" priority="267" aboveAverage="0" equalAverage="0" bottom="0" percent="0" rank="0" text="" dxfId="4">
      <formula>DATE(2026,5,13)=TODAY()</formula>
    </cfRule>
  </conditionalFormatting>
  <conditionalFormatting sqref="L19">
    <cfRule type="expression" priority="268" aboveAverage="0" equalAverage="0" bottom="0" percent="0" rank="0" text="" dxfId="3">
      <formula>COUNTIF(02_Lich_PM!$E$5:$E$1000,DATE(2026,5,14))&gt;0</formula>
    </cfRule>
    <cfRule type="expression" priority="269" aboveAverage="0" equalAverage="0" bottom="0" percent="0" rank="0" text="" dxfId="4">
      <formula>DATE(2026,5,14)=TODAY()</formula>
    </cfRule>
  </conditionalFormatting>
  <conditionalFormatting sqref="M19">
    <cfRule type="expression" priority="270" aboveAverage="0" equalAverage="0" bottom="0" percent="0" rank="0" text="" dxfId="3">
      <formula>COUNTIF(02_Lich_PM!$E$5:$E$1000,DATE(2026,5,15))&gt;0</formula>
    </cfRule>
    <cfRule type="expression" priority="271" aboveAverage="0" equalAverage="0" bottom="0" percent="0" rank="0" text="" dxfId="4">
      <formula>DATE(2026,5,15)=TODAY()</formula>
    </cfRule>
  </conditionalFormatting>
  <conditionalFormatting sqref="N19">
    <cfRule type="expression" priority="272" aboveAverage="0" equalAverage="0" bottom="0" percent="0" rank="0" text="" dxfId="3">
      <formula>COUNTIF(02_Lich_PM!$E$5:$E$1000,DATE(2026,5,16))&gt;0</formula>
    </cfRule>
    <cfRule type="expression" priority="273" aboveAverage="0" equalAverage="0" bottom="0" percent="0" rank="0" text="" dxfId="4">
      <formula>DATE(2026,5,16)=TODAY()</formula>
    </cfRule>
  </conditionalFormatting>
  <conditionalFormatting sqref="O19">
    <cfRule type="expression" priority="274" aboveAverage="0" equalAverage="0" bottom="0" percent="0" rank="0" text="" dxfId="3">
      <formula>COUNTIF(02_Lich_PM!$E$5:$E$1000,DATE(2026,5,17))&gt;0</formula>
    </cfRule>
    <cfRule type="expression" priority="275" aboveAverage="0" equalAverage="0" bottom="0" percent="0" rank="0" text="" dxfId="4">
      <formula>DATE(2026,5,17)=TODAY()</formula>
    </cfRule>
  </conditionalFormatting>
  <conditionalFormatting sqref="I20">
    <cfRule type="expression" priority="276" aboveAverage="0" equalAverage="0" bottom="0" percent="0" rank="0" text="" dxfId="3">
      <formula>COUNTIF(02_Lich_PM!$E$5:$E$1000,DATE(2026,5,18))&gt;0</formula>
    </cfRule>
    <cfRule type="expression" priority="277" aboveAverage="0" equalAverage="0" bottom="0" percent="0" rank="0" text="" dxfId="4">
      <formula>DATE(2026,5,18)=TODAY()</formula>
    </cfRule>
  </conditionalFormatting>
  <conditionalFormatting sqref="J20">
    <cfRule type="expression" priority="278" aboveAverage="0" equalAverage="0" bottom="0" percent="0" rank="0" text="" dxfId="3">
      <formula>COUNTIF(02_Lich_PM!$E$5:$E$1000,DATE(2026,5,19))&gt;0</formula>
    </cfRule>
    <cfRule type="expression" priority="279" aboveAverage="0" equalAverage="0" bottom="0" percent="0" rank="0" text="" dxfId="4">
      <formula>DATE(2026,5,19)=TODAY()</formula>
    </cfRule>
  </conditionalFormatting>
  <conditionalFormatting sqref="K20">
    <cfRule type="expression" priority="280" aboveAverage="0" equalAverage="0" bottom="0" percent="0" rank="0" text="" dxfId="3">
      <formula>COUNTIF(02_Lich_PM!$E$5:$E$1000,DATE(2026,5,20))&gt;0</formula>
    </cfRule>
    <cfRule type="expression" priority="281" aboveAverage="0" equalAverage="0" bottom="0" percent="0" rank="0" text="" dxfId="4">
      <formula>DATE(2026,5,20)=TODAY()</formula>
    </cfRule>
  </conditionalFormatting>
  <conditionalFormatting sqref="L20">
    <cfRule type="expression" priority="282" aboveAverage="0" equalAverage="0" bottom="0" percent="0" rank="0" text="" dxfId="3">
      <formula>COUNTIF(02_Lich_PM!$E$5:$E$1000,DATE(2026,5,21))&gt;0</formula>
    </cfRule>
    <cfRule type="expression" priority="283" aboveAverage="0" equalAverage="0" bottom="0" percent="0" rank="0" text="" dxfId="4">
      <formula>DATE(2026,5,21)=TODAY()</formula>
    </cfRule>
  </conditionalFormatting>
  <conditionalFormatting sqref="M20">
    <cfRule type="expression" priority="284" aboveAverage="0" equalAverage="0" bottom="0" percent="0" rank="0" text="" dxfId="3">
      <formula>COUNTIF(02_Lich_PM!$E$5:$E$1000,DATE(2026,5,22))&gt;0</formula>
    </cfRule>
    <cfRule type="expression" priority="285" aboveAverage="0" equalAverage="0" bottom="0" percent="0" rank="0" text="" dxfId="4">
      <formula>DATE(2026,5,22)=TODAY()</formula>
    </cfRule>
  </conditionalFormatting>
  <conditionalFormatting sqref="N20">
    <cfRule type="expression" priority="286" aboveAverage="0" equalAverage="0" bottom="0" percent="0" rank="0" text="" dxfId="3">
      <formula>COUNTIF(02_Lich_PM!$E$5:$E$1000,DATE(2026,5,23))&gt;0</formula>
    </cfRule>
    <cfRule type="expression" priority="287" aboveAverage="0" equalAverage="0" bottom="0" percent="0" rank="0" text="" dxfId="4">
      <formula>DATE(2026,5,23)=TODAY()</formula>
    </cfRule>
  </conditionalFormatting>
  <conditionalFormatting sqref="O20">
    <cfRule type="expression" priority="288" aboveAverage="0" equalAverage="0" bottom="0" percent="0" rank="0" text="" dxfId="3">
      <formula>COUNTIF(02_Lich_PM!$E$5:$E$1000,DATE(2026,5,24))&gt;0</formula>
    </cfRule>
    <cfRule type="expression" priority="289" aboveAverage="0" equalAverage="0" bottom="0" percent="0" rank="0" text="" dxfId="4">
      <formula>DATE(2026,5,24)=TODAY()</formula>
    </cfRule>
  </conditionalFormatting>
  <conditionalFormatting sqref="I21">
    <cfRule type="expression" priority="290" aboveAverage="0" equalAverage="0" bottom="0" percent="0" rank="0" text="" dxfId="3">
      <formula>COUNTIF(02_Lich_PM!$E$5:$E$1000,DATE(2026,5,25))&gt;0</formula>
    </cfRule>
    <cfRule type="expression" priority="291" aboveAverage="0" equalAverage="0" bottom="0" percent="0" rank="0" text="" dxfId="4">
      <formula>DATE(2026,5,25)=TODAY()</formula>
    </cfRule>
  </conditionalFormatting>
  <conditionalFormatting sqref="J21">
    <cfRule type="expression" priority="292" aboveAverage="0" equalAverage="0" bottom="0" percent="0" rank="0" text="" dxfId="3">
      <formula>COUNTIF(02_Lich_PM!$E$5:$E$1000,DATE(2026,5,26))&gt;0</formula>
    </cfRule>
    <cfRule type="expression" priority="293" aboveAverage="0" equalAverage="0" bottom="0" percent="0" rank="0" text="" dxfId="4">
      <formula>DATE(2026,5,26)=TODAY()</formula>
    </cfRule>
  </conditionalFormatting>
  <conditionalFormatting sqref="K21">
    <cfRule type="expression" priority="294" aboveAverage="0" equalAverage="0" bottom="0" percent="0" rank="0" text="" dxfId="3">
      <formula>COUNTIF(02_Lich_PM!$E$5:$E$1000,DATE(2026,5,27))&gt;0</formula>
    </cfRule>
    <cfRule type="expression" priority="295" aboveAverage="0" equalAverage="0" bottom="0" percent="0" rank="0" text="" dxfId="4">
      <formula>DATE(2026,5,27)=TODAY()</formula>
    </cfRule>
  </conditionalFormatting>
  <conditionalFormatting sqref="L21">
    <cfRule type="expression" priority="296" aboveAverage="0" equalAverage="0" bottom="0" percent="0" rank="0" text="" dxfId="3">
      <formula>COUNTIF(02_Lich_PM!$E$5:$E$1000,DATE(2026,5,28))&gt;0</formula>
    </cfRule>
    <cfRule type="expression" priority="297" aboveAverage="0" equalAverage="0" bottom="0" percent="0" rank="0" text="" dxfId="4">
      <formula>DATE(2026,5,28)=TODAY()</formula>
    </cfRule>
  </conditionalFormatting>
  <conditionalFormatting sqref="M21">
    <cfRule type="expression" priority="298" aboveAverage="0" equalAverage="0" bottom="0" percent="0" rank="0" text="" dxfId="3">
      <formula>COUNTIF(02_Lich_PM!$E$5:$E$1000,DATE(2026,5,29))&gt;0</formula>
    </cfRule>
    <cfRule type="expression" priority="299" aboveAverage="0" equalAverage="0" bottom="0" percent="0" rank="0" text="" dxfId="4">
      <formula>DATE(2026,5,29)=TODAY()</formula>
    </cfRule>
  </conditionalFormatting>
  <conditionalFormatting sqref="N21">
    <cfRule type="expression" priority="300" aboveAverage="0" equalAverage="0" bottom="0" percent="0" rank="0" text="" dxfId="3">
      <formula>COUNTIF(02_Lich_PM!$E$5:$E$1000,DATE(2026,5,30))&gt;0</formula>
    </cfRule>
    <cfRule type="expression" priority="301" aboveAverage="0" equalAverage="0" bottom="0" percent="0" rank="0" text="" dxfId="4">
      <formula>DATE(2026,5,30)=TODAY()</formula>
    </cfRule>
  </conditionalFormatting>
  <conditionalFormatting sqref="O21">
    <cfRule type="expression" priority="302" aboveAverage="0" equalAverage="0" bottom="0" percent="0" rank="0" text="" dxfId="3">
      <formula>COUNTIF(02_Lich_PM!$E$5:$E$1000,DATE(2026,5,31))&gt;0</formula>
    </cfRule>
    <cfRule type="expression" priority="303" aboveAverage="0" equalAverage="0" bottom="0" percent="0" rank="0" text="" dxfId="4">
      <formula>DATE(2026,5,31)=TODAY()</formula>
    </cfRule>
  </conditionalFormatting>
  <conditionalFormatting sqref="Q17">
    <cfRule type="expression" priority="304" aboveAverage="0" equalAverage="0" bottom="0" percent="0" rank="0" text="" dxfId="3">
      <formula>COUNTIF(02_Lich_PM!$E$5:$E$1000,DATE(2026,6,1))&gt;0</formula>
    </cfRule>
    <cfRule type="expression" priority="305" aboveAverage="0" equalAverage="0" bottom="0" percent="0" rank="0" text="" dxfId="4">
      <formula>DATE(2026,6,1)=TODAY()</formula>
    </cfRule>
  </conditionalFormatting>
  <conditionalFormatting sqref="R17">
    <cfRule type="expression" priority="306" aboveAverage="0" equalAverage="0" bottom="0" percent="0" rank="0" text="" dxfId="3">
      <formula>COUNTIF(02_Lich_PM!$E$5:$E$1000,DATE(2026,6,2))&gt;0</formula>
    </cfRule>
    <cfRule type="expression" priority="307" aboveAverage="0" equalAverage="0" bottom="0" percent="0" rank="0" text="" dxfId="4">
      <formula>DATE(2026,6,2)=TODAY()</formula>
    </cfRule>
  </conditionalFormatting>
  <conditionalFormatting sqref="S17">
    <cfRule type="expression" priority="308" aboveAverage="0" equalAverage="0" bottom="0" percent="0" rank="0" text="" dxfId="3">
      <formula>COUNTIF(02_Lich_PM!$E$5:$E$1000,DATE(2026,6,3))&gt;0</formula>
    </cfRule>
    <cfRule type="expression" priority="309" aboveAverage="0" equalAverage="0" bottom="0" percent="0" rank="0" text="" dxfId="4">
      <formula>DATE(2026,6,3)=TODAY()</formula>
    </cfRule>
  </conditionalFormatting>
  <conditionalFormatting sqref="T17">
    <cfRule type="expression" priority="310" aboveAverage="0" equalAverage="0" bottom="0" percent="0" rank="0" text="" dxfId="3">
      <formula>COUNTIF(02_Lich_PM!$E$5:$E$1000,DATE(2026,6,4))&gt;0</formula>
    </cfRule>
    <cfRule type="expression" priority="311" aboveAverage="0" equalAverage="0" bottom="0" percent="0" rank="0" text="" dxfId="4">
      <formula>DATE(2026,6,4)=TODAY()</formula>
    </cfRule>
  </conditionalFormatting>
  <conditionalFormatting sqref="U17">
    <cfRule type="expression" priority="312" aboveAverage="0" equalAverage="0" bottom="0" percent="0" rank="0" text="" dxfId="3">
      <formula>COUNTIF(02_Lich_PM!$E$5:$E$1000,DATE(2026,6,5))&gt;0</formula>
    </cfRule>
    <cfRule type="expression" priority="313" aboveAverage="0" equalAverage="0" bottom="0" percent="0" rank="0" text="" dxfId="4">
      <formula>DATE(2026,6,5)=TODAY()</formula>
    </cfRule>
  </conditionalFormatting>
  <conditionalFormatting sqref="V17">
    <cfRule type="expression" priority="314" aboveAverage="0" equalAverage="0" bottom="0" percent="0" rank="0" text="" dxfId="3">
      <formula>COUNTIF(02_Lich_PM!$E$5:$E$1000,DATE(2026,6,6))&gt;0</formula>
    </cfRule>
    <cfRule type="expression" priority="315" aboveAverage="0" equalAverage="0" bottom="0" percent="0" rank="0" text="" dxfId="4">
      <formula>DATE(2026,6,6)=TODAY()</formula>
    </cfRule>
  </conditionalFormatting>
  <conditionalFormatting sqref="W17">
    <cfRule type="expression" priority="316" aboveAverage="0" equalAverage="0" bottom="0" percent="0" rank="0" text="" dxfId="3">
      <formula>COUNTIF(02_Lich_PM!$E$5:$E$1000,DATE(2026,6,7))&gt;0</formula>
    </cfRule>
    <cfRule type="expression" priority="317" aboveAverage="0" equalAverage="0" bottom="0" percent="0" rank="0" text="" dxfId="4">
      <formula>DATE(2026,6,7)=TODAY()</formula>
    </cfRule>
  </conditionalFormatting>
  <conditionalFormatting sqref="Q18">
    <cfRule type="expression" priority="318" aboveAverage="0" equalAverage="0" bottom="0" percent="0" rank="0" text="" dxfId="3">
      <formula>COUNTIF(02_Lich_PM!$E$5:$E$1000,DATE(2026,6,8))&gt;0</formula>
    </cfRule>
    <cfRule type="expression" priority="319" aboveAverage="0" equalAverage="0" bottom="0" percent="0" rank="0" text="" dxfId="4">
      <formula>DATE(2026,6,8)=TODAY()</formula>
    </cfRule>
  </conditionalFormatting>
  <conditionalFormatting sqref="R18">
    <cfRule type="expression" priority="320" aboveAverage="0" equalAverage="0" bottom="0" percent="0" rank="0" text="" dxfId="3">
      <formula>COUNTIF(02_Lich_PM!$E$5:$E$1000,DATE(2026,6,9))&gt;0</formula>
    </cfRule>
    <cfRule type="expression" priority="321" aboveAverage="0" equalAverage="0" bottom="0" percent="0" rank="0" text="" dxfId="4">
      <formula>DATE(2026,6,9)=TODAY()</formula>
    </cfRule>
  </conditionalFormatting>
  <conditionalFormatting sqref="S18">
    <cfRule type="expression" priority="322" aboveAverage="0" equalAverage="0" bottom="0" percent="0" rank="0" text="" dxfId="3">
      <formula>COUNTIF(02_Lich_PM!$E$5:$E$1000,DATE(2026,6,10))&gt;0</formula>
    </cfRule>
    <cfRule type="expression" priority="323" aboveAverage="0" equalAverage="0" bottom="0" percent="0" rank="0" text="" dxfId="4">
      <formula>DATE(2026,6,10)=TODAY()</formula>
    </cfRule>
  </conditionalFormatting>
  <conditionalFormatting sqref="T18">
    <cfRule type="expression" priority="324" aboveAverage="0" equalAverage="0" bottom="0" percent="0" rank="0" text="" dxfId="3">
      <formula>COUNTIF(02_Lich_PM!$E$5:$E$1000,DATE(2026,6,11))&gt;0</formula>
    </cfRule>
    <cfRule type="expression" priority="325" aboveAverage="0" equalAverage="0" bottom="0" percent="0" rank="0" text="" dxfId="4">
      <formula>DATE(2026,6,11)=TODAY()</formula>
    </cfRule>
  </conditionalFormatting>
  <conditionalFormatting sqref="U18">
    <cfRule type="expression" priority="326" aboveAverage="0" equalAverage="0" bottom="0" percent="0" rank="0" text="" dxfId="3">
      <formula>COUNTIF(02_Lich_PM!$E$5:$E$1000,DATE(2026,6,12))&gt;0</formula>
    </cfRule>
    <cfRule type="expression" priority="327" aboveAverage="0" equalAverage="0" bottom="0" percent="0" rank="0" text="" dxfId="4">
      <formula>DATE(2026,6,12)=TODAY()</formula>
    </cfRule>
  </conditionalFormatting>
  <conditionalFormatting sqref="V18">
    <cfRule type="expression" priority="328" aboveAverage="0" equalAverage="0" bottom="0" percent="0" rank="0" text="" dxfId="3">
      <formula>COUNTIF(02_Lich_PM!$E$5:$E$1000,DATE(2026,6,13))&gt;0</formula>
    </cfRule>
    <cfRule type="expression" priority="329" aboveAverage="0" equalAverage="0" bottom="0" percent="0" rank="0" text="" dxfId="4">
      <formula>DATE(2026,6,13)=TODAY()</formula>
    </cfRule>
  </conditionalFormatting>
  <conditionalFormatting sqref="W18">
    <cfRule type="expression" priority="330" aboveAverage="0" equalAverage="0" bottom="0" percent="0" rank="0" text="" dxfId="3">
      <formula>COUNTIF(02_Lich_PM!$E$5:$E$1000,DATE(2026,6,14))&gt;0</formula>
    </cfRule>
    <cfRule type="expression" priority="331" aboveAverage="0" equalAverage="0" bottom="0" percent="0" rank="0" text="" dxfId="4">
      <formula>DATE(2026,6,14)=TODAY()</formula>
    </cfRule>
  </conditionalFormatting>
  <conditionalFormatting sqref="Q19">
    <cfRule type="expression" priority="332" aboveAverage="0" equalAverage="0" bottom="0" percent="0" rank="0" text="" dxfId="3">
      <formula>COUNTIF(02_Lich_PM!$E$5:$E$1000,DATE(2026,6,15))&gt;0</formula>
    </cfRule>
    <cfRule type="expression" priority="333" aboveAverage="0" equalAverage="0" bottom="0" percent="0" rank="0" text="" dxfId="4">
      <formula>DATE(2026,6,15)=TODAY()</formula>
    </cfRule>
  </conditionalFormatting>
  <conditionalFormatting sqref="R19">
    <cfRule type="expression" priority="334" aboveAverage="0" equalAverage="0" bottom="0" percent="0" rank="0" text="" dxfId="3">
      <formula>COUNTIF(02_Lich_PM!$E$5:$E$1000,DATE(2026,6,16))&gt;0</formula>
    </cfRule>
    <cfRule type="expression" priority="335" aboveAverage="0" equalAverage="0" bottom="0" percent="0" rank="0" text="" dxfId="4">
      <formula>DATE(2026,6,16)=TODAY()</formula>
    </cfRule>
  </conditionalFormatting>
  <conditionalFormatting sqref="S19">
    <cfRule type="expression" priority="336" aboveAverage="0" equalAverage="0" bottom="0" percent="0" rank="0" text="" dxfId="3">
      <formula>COUNTIF(02_Lich_PM!$E$5:$E$1000,DATE(2026,6,17))&gt;0</formula>
    </cfRule>
    <cfRule type="expression" priority="337" aboveAverage="0" equalAverage="0" bottom="0" percent="0" rank="0" text="" dxfId="4">
      <formula>DATE(2026,6,17)=TODAY()</formula>
    </cfRule>
  </conditionalFormatting>
  <conditionalFormatting sqref="T19">
    <cfRule type="expression" priority="338" aboveAverage="0" equalAverage="0" bottom="0" percent="0" rank="0" text="" dxfId="3">
      <formula>COUNTIF(02_Lich_PM!$E$5:$E$1000,DATE(2026,6,18))&gt;0</formula>
    </cfRule>
    <cfRule type="expression" priority="339" aboveAverage="0" equalAverage="0" bottom="0" percent="0" rank="0" text="" dxfId="4">
      <formula>DATE(2026,6,18)=TODAY()</formula>
    </cfRule>
  </conditionalFormatting>
  <conditionalFormatting sqref="U19">
    <cfRule type="expression" priority="340" aboveAverage="0" equalAverage="0" bottom="0" percent="0" rank="0" text="" dxfId="3">
      <formula>COUNTIF(02_Lich_PM!$E$5:$E$1000,DATE(2026,6,19))&gt;0</formula>
    </cfRule>
    <cfRule type="expression" priority="341" aboveAverage="0" equalAverage="0" bottom="0" percent="0" rank="0" text="" dxfId="4">
      <formula>DATE(2026,6,19)=TODAY()</formula>
    </cfRule>
  </conditionalFormatting>
  <conditionalFormatting sqref="V19">
    <cfRule type="expression" priority="342" aboveAverage="0" equalAverage="0" bottom="0" percent="0" rank="0" text="" dxfId="3">
      <formula>COUNTIF(02_Lich_PM!$E$5:$E$1000,DATE(2026,6,20))&gt;0</formula>
    </cfRule>
    <cfRule type="expression" priority="343" aboveAverage="0" equalAverage="0" bottom="0" percent="0" rank="0" text="" dxfId="4">
      <formula>DATE(2026,6,20)=TODAY()</formula>
    </cfRule>
  </conditionalFormatting>
  <conditionalFormatting sqref="W19">
    <cfRule type="expression" priority="344" aboveAverage="0" equalAverage="0" bottom="0" percent="0" rank="0" text="" dxfId="3">
      <formula>COUNTIF(02_Lich_PM!$E$5:$E$1000,DATE(2026,6,21))&gt;0</formula>
    </cfRule>
    <cfRule type="expression" priority="345" aboveAverage="0" equalAverage="0" bottom="0" percent="0" rank="0" text="" dxfId="4">
      <formula>DATE(2026,6,21)=TODAY()</formula>
    </cfRule>
  </conditionalFormatting>
  <conditionalFormatting sqref="Q20">
    <cfRule type="expression" priority="346" aboveAverage="0" equalAverage="0" bottom="0" percent="0" rank="0" text="" dxfId="3">
      <formula>COUNTIF(02_Lich_PM!$E$5:$E$1000,DATE(2026,6,22))&gt;0</formula>
    </cfRule>
    <cfRule type="expression" priority="347" aboveAverage="0" equalAverage="0" bottom="0" percent="0" rank="0" text="" dxfId="4">
      <formula>DATE(2026,6,22)=TODAY()</formula>
    </cfRule>
  </conditionalFormatting>
  <conditionalFormatting sqref="R20">
    <cfRule type="expression" priority="348" aboveAverage="0" equalAverage="0" bottom="0" percent="0" rank="0" text="" dxfId="3">
      <formula>COUNTIF(02_Lich_PM!$E$5:$E$1000,DATE(2026,6,23))&gt;0</formula>
    </cfRule>
    <cfRule type="expression" priority="349" aboveAverage="0" equalAverage="0" bottom="0" percent="0" rank="0" text="" dxfId="4">
      <formula>DATE(2026,6,23)=TODAY()</formula>
    </cfRule>
  </conditionalFormatting>
  <conditionalFormatting sqref="S20">
    <cfRule type="expression" priority="350" aboveAverage="0" equalAverage="0" bottom="0" percent="0" rank="0" text="" dxfId="3">
      <formula>COUNTIF(02_Lich_PM!$E$5:$E$1000,DATE(2026,6,24))&gt;0</formula>
    </cfRule>
    <cfRule type="expression" priority="351" aboveAverage="0" equalAverage="0" bottom="0" percent="0" rank="0" text="" dxfId="4">
      <formula>DATE(2026,6,24)=TODAY()</formula>
    </cfRule>
  </conditionalFormatting>
  <conditionalFormatting sqref="T20">
    <cfRule type="expression" priority="352" aboveAverage="0" equalAverage="0" bottom="0" percent="0" rank="0" text="" dxfId="3">
      <formula>COUNTIF(02_Lich_PM!$E$5:$E$1000,DATE(2026,6,25))&gt;0</formula>
    </cfRule>
    <cfRule type="expression" priority="353" aboveAverage="0" equalAverage="0" bottom="0" percent="0" rank="0" text="" dxfId="4">
      <formula>DATE(2026,6,25)=TODAY()</formula>
    </cfRule>
  </conditionalFormatting>
  <conditionalFormatting sqref="U20">
    <cfRule type="expression" priority="354" aboveAverage="0" equalAverage="0" bottom="0" percent="0" rank="0" text="" dxfId="3">
      <formula>COUNTIF(02_Lich_PM!$E$5:$E$1000,DATE(2026,6,26))&gt;0</formula>
    </cfRule>
    <cfRule type="expression" priority="355" aboveAverage="0" equalAverage="0" bottom="0" percent="0" rank="0" text="" dxfId="4">
      <formula>DATE(2026,6,26)=TODAY()</formula>
    </cfRule>
  </conditionalFormatting>
  <conditionalFormatting sqref="V20">
    <cfRule type="expression" priority="356" aboveAverage="0" equalAverage="0" bottom="0" percent="0" rank="0" text="" dxfId="3">
      <formula>COUNTIF(02_Lich_PM!$E$5:$E$1000,DATE(2026,6,27))&gt;0</formula>
    </cfRule>
    <cfRule type="expression" priority="357" aboveAverage="0" equalAverage="0" bottom="0" percent="0" rank="0" text="" dxfId="4">
      <formula>DATE(2026,6,27)=TODAY()</formula>
    </cfRule>
  </conditionalFormatting>
  <conditionalFormatting sqref="W20">
    <cfRule type="expression" priority="358" aboveAverage="0" equalAverage="0" bottom="0" percent="0" rank="0" text="" dxfId="3">
      <formula>COUNTIF(02_Lich_PM!$E$5:$E$1000,DATE(2026,6,28))&gt;0</formula>
    </cfRule>
    <cfRule type="expression" priority="359" aboveAverage="0" equalAverage="0" bottom="0" percent="0" rank="0" text="" dxfId="4">
      <formula>DATE(2026,6,28)=TODAY()</formula>
    </cfRule>
  </conditionalFormatting>
  <conditionalFormatting sqref="Q21">
    <cfRule type="expression" priority="360" aboveAverage="0" equalAverage="0" bottom="0" percent="0" rank="0" text="" dxfId="3">
      <formula>COUNTIF(02_Lich_PM!$E$5:$E$1000,DATE(2026,6,29))&gt;0</formula>
    </cfRule>
    <cfRule type="expression" priority="361" aboveAverage="0" equalAverage="0" bottom="0" percent="0" rank="0" text="" dxfId="4">
      <formula>DATE(2026,6,29)=TODAY()</formula>
    </cfRule>
  </conditionalFormatting>
  <conditionalFormatting sqref="R21">
    <cfRule type="expression" priority="362" aboveAverage="0" equalAverage="0" bottom="0" percent="0" rank="0" text="" dxfId="3">
      <formula>COUNTIF(02_Lich_PM!$E$5:$E$1000,DATE(2026,6,30))&gt;0</formula>
    </cfRule>
    <cfRule type="expression" priority="363" aboveAverage="0" equalAverage="0" bottom="0" percent="0" rank="0" text="" dxfId="4">
      <formula>DATE(2026,6,30)=TODAY()</formula>
    </cfRule>
  </conditionalFormatting>
  <conditionalFormatting sqref="C26">
    <cfRule type="expression" priority="364" aboveAverage="0" equalAverage="0" bottom="0" percent="0" rank="0" text="" dxfId="3">
      <formula>COUNTIF(02_Lich_PM!$E$5:$E$1000,DATE(2026,7,1))&gt;0</formula>
    </cfRule>
    <cfRule type="expression" priority="365" aboveAverage="0" equalAverage="0" bottom="0" percent="0" rank="0" text="" dxfId="4">
      <formula>DATE(2026,7,1)=TODAY()</formula>
    </cfRule>
  </conditionalFormatting>
  <conditionalFormatting sqref="D26">
    <cfRule type="expression" priority="366" aboveAverage="0" equalAverage="0" bottom="0" percent="0" rank="0" text="" dxfId="3">
      <formula>COUNTIF(02_Lich_PM!$E$5:$E$1000,DATE(2026,7,2))&gt;0</formula>
    </cfRule>
    <cfRule type="expression" priority="367" aboveAverage="0" equalAverage="0" bottom="0" percent="0" rank="0" text="" dxfId="4">
      <formula>DATE(2026,7,2)=TODAY()</formula>
    </cfRule>
  </conditionalFormatting>
  <conditionalFormatting sqref="E26">
    <cfRule type="expression" priority="368" aboveAverage="0" equalAverage="0" bottom="0" percent="0" rank="0" text="" dxfId="3">
      <formula>COUNTIF(02_Lich_PM!$E$5:$E$1000,DATE(2026,7,3))&gt;0</formula>
    </cfRule>
    <cfRule type="expression" priority="369" aboveAverage="0" equalAverage="0" bottom="0" percent="0" rank="0" text="" dxfId="4">
      <formula>DATE(2026,7,3)=TODAY()</formula>
    </cfRule>
  </conditionalFormatting>
  <conditionalFormatting sqref="F26">
    <cfRule type="expression" priority="370" aboveAverage="0" equalAverage="0" bottom="0" percent="0" rank="0" text="" dxfId="3">
      <formula>COUNTIF(02_Lich_PM!$E$5:$E$1000,DATE(2026,7,4))&gt;0</formula>
    </cfRule>
    <cfRule type="expression" priority="371" aboveAverage="0" equalAverage="0" bottom="0" percent="0" rank="0" text="" dxfId="4">
      <formula>DATE(2026,7,4)=TODAY()</formula>
    </cfRule>
  </conditionalFormatting>
  <conditionalFormatting sqref="G26">
    <cfRule type="expression" priority="372" aboveAverage="0" equalAverage="0" bottom="0" percent="0" rank="0" text="" dxfId="3">
      <formula>COUNTIF(02_Lich_PM!$E$5:$E$1000,DATE(2026,7,5))&gt;0</formula>
    </cfRule>
    <cfRule type="expression" priority="373" aboveAverage="0" equalAverage="0" bottom="0" percent="0" rank="0" text="" dxfId="4">
      <formula>DATE(2026,7,5)=TODAY()</formula>
    </cfRule>
  </conditionalFormatting>
  <conditionalFormatting sqref="A27">
    <cfRule type="expression" priority="374" aboveAverage="0" equalAverage="0" bottom="0" percent="0" rank="0" text="" dxfId="3">
      <formula>COUNTIF(02_Lich_PM!$E$5:$E$1000,DATE(2026,7,6))&gt;0</formula>
    </cfRule>
    <cfRule type="expression" priority="375" aboveAverage="0" equalAverage="0" bottom="0" percent="0" rank="0" text="" dxfId="4">
      <formula>DATE(2026,7,6)=TODAY()</formula>
    </cfRule>
  </conditionalFormatting>
  <conditionalFormatting sqref="B27">
    <cfRule type="expression" priority="376" aboveAverage="0" equalAverage="0" bottom="0" percent="0" rank="0" text="" dxfId="3">
      <formula>COUNTIF(02_Lich_PM!$E$5:$E$1000,DATE(2026,7,7))&gt;0</formula>
    </cfRule>
    <cfRule type="expression" priority="377" aboveAverage="0" equalAverage="0" bottom="0" percent="0" rank="0" text="" dxfId="4">
      <formula>DATE(2026,7,7)=TODAY()</formula>
    </cfRule>
  </conditionalFormatting>
  <conditionalFormatting sqref="C27">
    <cfRule type="expression" priority="378" aboveAverage="0" equalAverage="0" bottom="0" percent="0" rank="0" text="" dxfId="3">
      <formula>COUNTIF(02_Lich_PM!$E$5:$E$1000,DATE(2026,7,8))&gt;0</formula>
    </cfRule>
    <cfRule type="expression" priority="379" aboveAverage="0" equalAverage="0" bottom="0" percent="0" rank="0" text="" dxfId="4">
      <formula>DATE(2026,7,8)=TODAY()</formula>
    </cfRule>
  </conditionalFormatting>
  <conditionalFormatting sqref="D27">
    <cfRule type="expression" priority="380" aboveAverage="0" equalAverage="0" bottom="0" percent="0" rank="0" text="" dxfId="3">
      <formula>COUNTIF(02_Lich_PM!$E$5:$E$1000,DATE(2026,7,9))&gt;0</formula>
    </cfRule>
    <cfRule type="expression" priority="381" aboveAverage="0" equalAverage="0" bottom="0" percent="0" rank="0" text="" dxfId="4">
      <formula>DATE(2026,7,9)=TODAY()</formula>
    </cfRule>
  </conditionalFormatting>
  <conditionalFormatting sqref="E27">
    <cfRule type="expression" priority="382" aboveAverage="0" equalAverage="0" bottom="0" percent="0" rank="0" text="" dxfId="3">
      <formula>COUNTIF(02_Lich_PM!$E$5:$E$1000,DATE(2026,7,10))&gt;0</formula>
    </cfRule>
    <cfRule type="expression" priority="383" aboveAverage="0" equalAverage="0" bottom="0" percent="0" rank="0" text="" dxfId="4">
      <formula>DATE(2026,7,10)=TODAY()</formula>
    </cfRule>
  </conditionalFormatting>
  <conditionalFormatting sqref="F27">
    <cfRule type="expression" priority="384" aboveAverage="0" equalAverage="0" bottom="0" percent="0" rank="0" text="" dxfId="3">
      <formula>COUNTIF(02_Lich_PM!$E$5:$E$1000,DATE(2026,7,11))&gt;0</formula>
    </cfRule>
    <cfRule type="expression" priority="385" aboveAverage="0" equalAverage="0" bottom="0" percent="0" rank="0" text="" dxfId="4">
      <formula>DATE(2026,7,11)=TODAY()</formula>
    </cfRule>
  </conditionalFormatting>
  <conditionalFormatting sqref="G27">
    <cfRule type="expression" priority="386" aboveAverage="0" equalAverage="0" bottom="0" percent="0" rank="0" text="" dxfId="3">
      <formula>COUNTIF(02_Lich_PM!$E$5:$E$1000,DATE(2026,7,12))&gt;0</formula>
    </cfRule>
    <cfRule type="expression" priority="387" aboveAverage="0" equalAverage="0" bottom="0" percent="0" rank="0" text="" dxfId="4">
      <formula>DATE(2026,7,12)=TODAY()</formula>
    </cfRule>
  </conditionalFormatting>
  <conditionalFormatting sqref="A28">
    <cfRule type="expression" priority="388" aboveAverage="0" equalAverage="0" bottom="0" percent="0" rank="0" text="" dxfId="3">
      <formula>COUNTIF(02_Lich_PM!$E$5:$E$1000,DATE(2026,7,13))&gt;0</formula>
    </cfRule>
    <cfRule type="expression" priority="389" aboveAverage="0" equalAverage="0" bottom="0" percent="0" rank="0" text="" dxfId="4">
      <formula>DATE(2026,7,13)=TODAY()</formula>
    </cfRule>
  </conditionalFormatting>
  <conditionalFormatting sqref="B28">
    <cfRule type="expression" priority="390" aboveAverage="0" equalAverage="0" bottom="0" percent="0" rank="0" text="" dxfId="3">
      <formula>COUNTIF(02_Lich_PM!$E$5:$E$1000,DATE(2026,7,14))&gt;0</formula>
    </cfRule>
    <cfRule type="expression" priority="391" aboveAverage="0" equalAverage="0" bottom="0" percent="0" rank="0" text="" dxfId="4">
      <formula>DATE(2026,7,14)=TODAY()</formula>
    </cfRule>
  </conditionalFormatting>
  <conditionalFormatting sqref="C28">
    <cfRule type="expression" priority="392" aboveAverage="0" equalAverage="0" bottom="0" percent="0" rank="0" text="" dxfId="3">
      <formula>COUNTIF(02_Lich_PM!$E$5:$E$1000,DATE(2026,7,15))&gt;0</formula>
    </cfRule>
    <cfRule type="expression" priority="393" aboveAverage="0" equalAverage="0" bottom="0" percent="0" rank="0" text="" dxfId="4">
      <formula>DATE(2026,7,15)=TODAY()</formula>
    </cfRule>
  </conditionalFormatting>
  <conditionalFormatting sqref="D28">
    <cfRule type="expression" priority="394" aboveAverage="0" equalAverage="0" bottom="0" percent="0" rank="0" text="" dxfId="3">
      <formula>COUNTIF(02_Lich_PM!$E$5:$E$1000,DATE(2026,7,16))&gt;0</formula>
    </cfRule>
    <cfRule type="expression" priority="395" aboveAverage="0" equalAverage="0" bottom="0" percent="0" rank="0" text="" dxfId="4">
      <formula>DATE(2026,7,16)=TODAY()</formula>
    </cfRule>
  </conditionalFormatting>
  <conditionalFormatting sqref="E28">
    <cfRule type="expression" priority="396" aboveAverage="0" equalAverage="0" bottom="0" percent="0" rank="0" text="" dxfId="3">
      <formula>COUNTIF(02_Lich_PM!$E$5:$E$1000,DATE(2026,7,17))&gt;0</formula>
    </cfRule>
    <cfRule type="expression" priority="397" aboveAverage="0" equalAverage="0" bottom="0" percent="0" rank="0" text="" dxfId="4">
      <formula>DATE(2026,7,17)=TODAY()</formula>
    </cfRule>
  </conditionalFormatting>
  <conditionalFormatting sqref="F28">
    <cfRule type="expression" priority="398" aboveAverage="0" equalAverage="0" bottom="0" percent="0" rank="0" text="" dxfId="3">
      <formula>COUNTIF(02_Lich_PM!$E$5:$E$1000,DATE(2026,7,18))&gt;0</formula>
    </cfRule>
    <cfRule type="expression" priority="399" aboveAverage="0" equalAverage="0" bottom="0" percent="0" rank="0" text="" dxfId="4">
      <formula>DATE(2026,7,18)=TODAY()</formula>
    </cfRule>
  </conditionalFormatting>
  <conditionalFormatting sqref="G28">
    <cfRule type="expression" priority="400" aboveAverage="0" equalAverage="0" bottom="0" percent="0" rank="0" text="" dxfId="3">
      <formula>COUNTIF(02_Lich_PM!$E$5:$E$1000,DATE(2026,7,19))&gt;0</formula>
    </cfRule>
    <cfRule type="expression" priority="401" aboveAverage="0" equalAverage="0" bottom="0" percent="0" rank="0" text="" dxfId="4">
      <formula>DATE(2026,7,19)=TODAY()</formula>
    </cfRule>
  </conditionalFormatting>
  <conditionalFormatting sqref="A29">
    <cfRule type="expression" priority="402" aboveAverage="0" equalAverage="0" bottom="0" percent="0" rank="0" text="" dxfId="3">
      <formula>COUNTIF(02_Lich_PM!$E$5:$E$1000,DATE(2026,7,20))&gt;0</formula>
    </cfRule>
    <cfRule type="expression" priority="403" aboveAverage="0" equalAverage="0" bottom="0" percent="0" rank="0" text="" dxfId="4">
      <formula>DATE(2026,7,20)=TODAY()</formula>
    </cfRule>
  </conditionalFormatting>
  <conditionalFormatting sqref="B29">
    <cfRule type="expression" priority="404" aboveAverage="0" equalAverage="0" bottom="0" percent="0" rank="0" text="" dxfId="3">
      <formula>COUNTIF(02_Lich_PM!$E$5:$E$1000,DATE(2026,7,21))&gt;0</formula>
    </cfRule>
    <cfRule type="expression" priority="405" aboveAverage="0" equalAverage="0" bottom="0" percent="0" rank="0" text="" dxfId="4">
      <formula>DATE(2026,7,21)=TODAY()</formula>
    </cfRule>
  </conditionalFormatting>
  <conditionalFormatting sqref="C29">
    <cfRule type="expression" priority="406" aboveAverage="0" equalAverage="0" bottom="0" percent="0" rank="0" text="" dxfId="3">
      <formula>COUNTIF(02_Lich_PM!$E$5:$E$1000,DATE(2026,7,22))&gt;0</formula>
    </cfRule>
    <cfRule type="expression" priority="407" aboveAverage="0" equalAverage="0" bottom="0" percent="0" rank="0" text="" dxfId="4">
      <formula>DATE(2026,7,22)=TODAY()</formula>
    </cfRule>
  </conditionalFormatting>
  <conditionalFormatting sqref="D29">
    <cfRule type="expression" priority="408" aboveAverage="0" equalAverage="0" bottom="0" percent="0" rank="0" text="" dxfId="3">
      <formula>COUNTIF(02_Lich_PM!$E$5:$E$1000,DATE(2026,7,23))&gt;0</formula>
    </cfRule>
    <cfRule type="expression" priority="409" aboveAverage="0" equalAverage="0" bottom="0" percent="0" rank="0" text="" dxfId="4">
      <formula>DATE(2026,7,23)=TODAY()</formula>
    </cfRule>
  </conditionalFormatting>
  <conditionalFormatting sqref="E29">
    <cfRule type="expression" priority="410" aboveAverage="0" equalAverage="0" bottom="0" percent="0" rank="0" text="" dxfId="3">
      <formula>COUNTIF(02_Lich_PM!$E$5:$E$1000,DATE(2026,7,24))&gt;0</formula>
    </cfRule>
    <cfRule type="expression" priority="411" aboveAverage="0" equalAverage="0" bottom="0" percent="0" rank="0" text="" dxfId="4">
      <formula>DATE(2026,7,24)=TODAY()</formula>
    </cfRule>
  </conditionalFormatting>
  <conditionalFormatting sqref="F29">
    <cfRule type="expression" priority="412" aboveAverage="0" equalAverage="0" bottom="0" percent="0" rank="0" text="" dxfId="3">
      <formula>COUNTIF(02_Lich_PM!$E$5:$E$1000,DATE(2026,7,25))&gt;0</formula>
    </cfRule>
    <cfRule type="expression" priority="413" aboveAverage="0" equalAverage="0" bottom="0" percent="0" rank="0" text="" dxfId="4">
      <formula>DATE(2026,7,25)=TODAY()</formula>
    </cfRule>
  </conditionalFormatting>
  <conditionalFormatting sqref="G29">
    <cfRule type="expression" priority="414" aboveAverage="0" equalAverage="0" bottom="0" percent="0" rank="0" text="" dxfId="3">
      <formula>COUNTIF(02_Lich_PM!$E$5:$E$1000,DATE(2026,7,26))&gt;0</formula>
    </cfRule>
    <cfRule type="expression" priority="415" aboveAverage="0" equalAverage="0" bottom="0" percent="0" rank="0" text="" dxfId="4">
      <formula>DATE(2026,7,26)=TODAY()</formula>
    </cfRule>
  </conditionalFormatting>
  <conditionalFormatting sqref="A30">
    <cfRule type="expression" priority="416" aboveAverage="0" equalAverage="0" bottom="0" percent="0" rank="0" text="" dxfId="3">
      <formula>COUNTIF(02_Lich_PM!$E$5:$E$1000,DATE(2026,7,27))&gt;0</formula>
    </cfRule>
    <cfRule type="expression" priority="417" aboveAverage="0" equalAverage="0" bottom="0" percent="0" rank="0" text="" dxfId="4">
      <formula>DATE(2026,7,27)=TODAY()</formula>
    </cfRule>
  </conditionalFormatting>
  <conditionalFormatting sqref="B30">
    <cfRule type="expression" priority="418" aboveAverage="0" equalAverage="0" bottom="0" percent="0" rank="0" text="" dxfId="3">
      <formula>COUNTIF(02_Lich_PM!$E$5:$E$1000,DATE(2026,7,28))&gt;0</formula>
    </cfRule>
    <cfRule type="expression" priority="419" aboveAverage="0" equalAverage="0" bottom="0" percent="0" rank="0" text="" dxfId="4">
      <formula>DATE(2026,7,28)=TODAY()</formula>
    </cfRule>
  </conditionalFormatting>
  <conditionalFormatting sqref="C30">
    <cfRule type="expression" priority="420" aboveAverage="0" equalAverage="0" bottom="0" percent="0" rank="0" text="" dxfId="3">
      <formula>COUNTIF(02_Lich_PM!$E$5:$E$1000,DATE(2026,7,29))&gt;0</formula>
    </cfRule>
    <cfRule type="expression" priority="421" aboveAverage="0" equalAverage="0" bottom="0" percent="0" rank="0" text="" dxfId="4">
      <formula>DATE(2026,7,29)=TODAY()</formula>
    </cfRule>
  </conditionalFormatting>
  <conditionalFormatting sqref="D30">
    <cfRule type="expression" priority="422" aboveAverage="0" equalAverage="0" bottom="0" percent="0" rank="0" text="" dxfId="3">
      <formula>COUNTIF(02_Lich_PM!$E$5:$E$1000,DATE(2026,7,30))&gt;0</formula>
    </cfRule>
    <cfRule type="expression" priority="423" aboveAverage="0" equalAverage="0" bottom="0" percent="0" rank="0" text="" dxfId="4">
      <formula>DATE(2026,7,30)=TODAY()</formula>
    </cfRule>
  </conditionalFormatting>
  <conditionalFormatting sqref="E30">
    <cfRule type="expression" priority="424" aboveAverage="0" equalAverage="0" bottom="0" percent="0" rank="0" text="" dxfId="3">
      <formula>COUNTIF(02_Lich_PM!$E$5:$E$1000,DATE(2026,7,31))&gt;0</formula>
    </cfRule>
    <cfRule type="expression" priority="425" aboveAverage="0" equalAverage="0" bottom="0" percent="0" rank="0" text="" dxfId="4">
      <formula>DATE(2026,7,31)=TODAY()</formula>
    </cfRule>
  </conditionalFormatting>
  <conditionalFormatting sqref="N26">
    <cfRule type="expression" priority="426" aboveAverage="0" equalAverage="0" bottom="0" percent="0" rank="0" text="" dxfId="3">
      <formula>COUNTIF(02_Lich_PM!$E$5:$E$1000,DATE(2026,8,1))&gt;0</formula>
    </cfRule>
    <cfRule type="expression" priority="427" aboveAverage="0" equalAverage="0" bottom="0" percent="0" rank="0" text="" dxfId="4">
      <formula>DATE(2026,8,1)=TODAY()</formula>
    </cfRule>
  </conditionalFormatting>
  <conditionalFormatting sqref="O26">
    <cfRule type="expression" priority="428" aboveAverage="0" equalAverage="0" bottom="0" percent="0" rank="0" text="" dxfId="3">
      <formula>COUNTIF(02_Lich_PM!$E$5:$E$1000,DATE(2026,8,2))&gt;0</formula>
    </cfRule>
    <cfRule type="expression" priority="429" aboveAverage="0" equalAverage="0" bottom="0" percent="0" rank="0" text="" dxfId="4">
      <formula>DATE(2026,8,2)=TODAY()</formula>
    </cfRule>
  </conditionalFormatting>
  <conditionalFormatting sqref="I27">
    <cfRule type="expression" priority="430" aboveAverage="0" equalAverage="0" bottom="0" percent="0" rank="0" text="" dxfId="3">
      <formula>COUNTIF(02_Lich_PM!$E$5:$E$1000,DATE(2026,8,3))&gt;0</formula>
    </cfRule>
    <cfRule type="expression" priority="431" aboveAverage="0" equalAverage="0" bottom="0" percent="0" rank="0" text="" dxfId="4">
      <formula>DATE(2026,8,3)=TODAY()</formula>
    </cfRule>
  </conditionalFormatting>
  <conditionalFormatting sqref="J27">
    <cfRule type="expression" priority="432" aboveAverage="0" equalAverage="0" bottom="0" percent="0" rank="0" text="" dxfId="3">
      <formula>COUNTIF(02_Lich_PM!$E$5:$E$1000,DATE(2026,8,4))&gt;0</formula>
    </cfRule>
    <cfRule type="expression" priority="433" aboveAverage="0" equalAverage="0" bottom="0" percent="0" rank="0" text="" dxfId="4">
      <formula>DATE(2026,8,4)=TODAY()</formula>
    </cfRule>
  </conditionalFormatting>
  <conditionalFormatting sqref="K27">
    <cfRule type="expression" priority="434" aboveAverage="0" equalAverage="0" bottom="0" percent="0" rank="0" text="" dxfId="3">
      <formula>COUNTIF(02_Lich_PM!$E$5:$E$1000,DATE(2026,8,5))&gt;0</formula>
    </cfRule>
    <cfRule type="expression" priority="435" aboveAverage="0" equalAverage="0" bottom="0" percent="0" rank="0" text="" dxfId="4">
      <formula>DATE(2026,8,5)=TODAY()</formula>
    </cfRule>
  </conditionalFormatting>
  <conditionalFormatting sqref="L27">
    <cfRule type="expression" priority="436" aboveAverage="0" equalAverage="0" bottom="0" percent="0" rank="0" text="" dxfId="3">
      <formula>COUNTIF(02_Lich_PM!$E$5:$E$1000,DATE(2026,8,6))&gt;0</formula>
    </cfRule>
    <cfRule type="expression" priority="437" aboveAverage="0" equalAverage="0" bottom="0" percent="0" rank="0" text="" dxfId="4">
      <formula>DATE(2026,8,6)=TODAY()</formula>
    </cfRule>
  </conditionalFormatting>
  <conditionalFormatting sqref="M27">
    <cfRule type="expression" priority="438" aboveAverage="0" equalAverage="0" bottom="0" percent="0" rank="0" text="" dxfId="3">
      <formula>COUNTIF(02_Lich_PM!$E$5:$E$1000,DATE(2026,8,7))&gt;0</formula>
    </cfRule>
    <cfRule type="expression" priority="439" aboveAverage="0" equalAverage="0" bottom="0" percent="0" rank="0" text="" dxfId="4">
      <formula>DATE(2026,8,7)=TODAY()</formula>
    </cfRule>
  </conditionalFormatting>
  <conditionalFormatting sqref="N27">
    <cfRule type="expression" priority="440" aboveAverage="0" equalAverage="0" bottom="0" percent="0" rank="0" text="" dxfId="3">
      <formula>COUNTIF(02_Lich_PM!$E$5:$E$1000,DATE(2026,8,8))&gt;0</formula>
    </cfRule>
    <cfRule type="expression" priority="441" aboveAverage="0" equalAverage="0" bottom="0" percent="0" rank="0" text="" dxfId="4">
      <formula>DATE(2026,8,8)=TODAY()</formula>
    </cfRule>
  </conditionalFormatting>
  <conditionalFormatting sqref="O27">
    <cfRule type="expression" priority="442" aboveAverage="0" equalAverage="0" bottom="0" percent="0" rank="0" text="" dxfId="3">
      <formula>COUNTIF(02_Lich_PM!$E$5:$E$1000,DATE(2026,8,9))&gt;0</formula>
    </cfRule>
    <cfRule type="expression" priority="443" aboveAverage="0" equalAverage="0" bottom="0" percent="0" rank="0" text="" dxfId="4">
      <formula>DATE(2026,8,9)=TODAY()</formula>
    </cfRule>
  </conditionalFormatting>
  <conditionalFormatting sqref="I28">
    <cfRule type="expression" priority="444" aboveAverage="0" equalAverage="0" bottom="0" percent="0" rank="0" text="" dxfId="3">
      <formula>COUNTIF(02_Lich_PM!$E$5:$E$1000,DATE(2026,8,10))&gt;0</formula>
    </cfRule>
    <cfRule type="expression" priority="445" aboveAverage="0" equalAverage="0" bottom="0" percent="0" rank="0" text="" dxfId="4">
      <formula>DATE(2026,8,10)=TODAY()</formula>
    </cfRule>
  </conditionalFormatting>
  <conditionalFormatting sqref="J28">
    <cfRule type="expression" priority="446" aboveAverage="0" equalAverage="0" bottom="0" percent="0" rank="0" text="" dxfId="3">
      <formula>COUNTIF(02_Lich_PM!$E$5:$E$1000,DATE(2026,8,11))&gt;0</formula>
    </cfRule>
    <cfRule type="expression" priority="447" aboveAverage="0" equalAverage="0" bottom="0" percent="0" rank="0" text="" dxfId="4">
      <formula>DATE(2026,8,11)=TODAY()</formula>
    </cfRule>
  </conditionalFormatting>
  <conditionalFormatting sqref="K28">
    <cfRule type="expression" priority="448" aboveAverage="0" equalAverage="0" bottom="0" percent="0" rank="0" text="" dxfId="3">
      <formula>COUNTIF(02_Lich_PM!$E$5:$E$1000,DATE(2026,8,12))&gt;0</formula>
    </cfRule>
    <cfRule type="expression" priority="449" aboveAverage="0" equalAverage="0" bottom="0" percent="0" rank="0" text="" dxfId="4">
      <formula>DATE(2026,8,12)=TODAY()</formula>
    </cfRule>
  </conditionalFormatting>
  <conditionalFormatting sqref="L28">
    <cfRule type="expression" priority="450" aboveAverage="0" equalAverage="0" bottom="0" percent="0" rank="0" text="" dxfId="3">
      <formula>COUNTIF(02_Lich_PM!$E$5:$E$1000,DATE(2026,8,13))&gt;0</formula>
    </cfRule>
    <cfRule type="expression" priority="451" aboveAverage="0" equalAverage="0" bottom="0" percent="0" rank="0" text="" dxfId="4">
      <formula>DATE(2026,8,13)=TODAY()</formula>
    </cfRule>
  </conditionalFormatting>
  <conditionalFormatting sqref="M28">
    <cfRule type="expression" priority="452" aboveAverage="0" equalAverage="0" bottom="0" percent="0" rank="0" text="" dxfId="3">
      <formula>COUNTIF(02_Lich_PM!$E$5:$E$1000,DATE(2026,8,14))&gt;0</formula>
    </cfRule>
    <cfRule type="expression" priority="453" aboveAverage="0" equalAverage="0" bottom="0" percent="0" rank="0" text="" dxfId="4">
      <formula>DATE(2026,8,14)=TODAY()</formula>
    </cfRule>
  </conditionalFormatting>
  <conditionalFormatting sqref="N28">
    <cfRule type="expression" priority="454" aboveAverage="0" equalAverage="0" bottom="0" percent="0" rank="0" text="" dxfId="3">
      <formula>COUNTIF(02_Lich_PM!$E$5:$E$1000,DATE(2026,8,15))&gt;0</formula>
    </cfRule>
    <cfRule type="expression" priority="455" aboveAverage="0" equalAverage="0" bottom="0" percent="0" rank="0" text="" dxfId="4">
      <formula>DATE(2026,8,15)=TODAY()</formula>
    </cfRule>
  </conditionalFormatting>
  <conditionalFormatting sqref="O28">
    <cfRule type="expression" priority="456" aboveAverage="0" equalAverage="0" bottom="0" percent="0" rank="0" text="" dxfId="3">
      <formula>COUNTIF(02_Lich_PM!$E$5:$E$1000,DATE(2026,8,16))&gt;0</formula>
    </cfRule>
    <cfRule type="expression" priority="457" aboveAverage="0" equalAverage="0" bottom="0" percent="0" rank="0" text="" dxfId="4">
      <formula>DATE(2026,8,16)=TODAY()</formula>
    </cfRule>
  </conditionalFormatting>
  <conditionalFormatting sqref="I29">
    <cfRule type="expression" priority="458" aboveAverage="0" equalAverage="0" bottom="0" percent="0" rank="0" text="" dxfId="3">
      <formula>COUNTIF(02_Lich_PM!$E$5:$E$1000,DATE(2026,8,17))&gt;0</formula>
    </cfRule>
    <cfRule type="expression" priority="459" aboveAverage="0" equalAverage="0" bottom="0" percent="0" rank="0" text="" dxfId="4">
      <formula>DATE(2026,8,17)=TODAY()</formula>
    </cfRule>
  </conditionalFormatting>
  <conditionalFormatting sqref="J29">
    <cfRule type="expression" priority="460" aboveAverage="0" equalAverage="0" bottom="0" percent="0" rank="0" text="" dxfId="3">
      <formula>COUNTIF(02_Lich_PM!$E$5:$E$1000,DATE(2026,8,18))&gt;0</formula>
    </cfRule>
    <cfRule type="expression" priority="461" aboveAverage="0" equalAverage="0" bottom="0" percent="0" rank="0" text="" dxfId="4">
      <formula>DATE(2026,8,18)=TODAY()</formula>
    </cfRule>
  </conditionalFormatting>
  <conditionalFormatting sqref="K29">
    <cfRule type="expression" priority="462" aboveAverage="0" equalAverage="0" bottom="0" percent="0" rank="0" text="" dxfId="3">
      <formula>COUNTIF(02_Lich_PM!$E$5:$E$1000,DATE(2026,8,19))&gt;0</formula>
    </cfRule>
    <cfRule type="expression" priority="463" aboveAverage="0" equalAverage="0" bottom="0" percent="0" rank="0" text="" dxfId="4">
      <formula>DATE(2026,8,19)=TODAY()</formula>
    </cfRule>
  </conditionalFormatting>
  <conditionalFormatting sqref="L29">
    <cfRule type="expression" priority="464" aboveAverage="0" equalAverage="0" bottom="0" percent="0" rank="0" text="" dxfId="3">
      <formula>COUNTIF(02_Lich_PM!$E$5:$E$1000,DATE(2026,8,20))&gt;0</formula>
    </cfRule>
    <cfRule type="expression" priority="465" aboveAverage="0" equalAverage="0" bottom="0" percent="0" rank="0" text="" dxfId="4">
      <formula>DATE(2026,8,20)=TODAY()</formula>
    </cfRule>
  </conditionalFormatting>
  <conditionalFormatting sqref="M29">
    <cfRule type="expression" priority="466" aboveAverage="0" equalAverage="0" bottom="0" percent="0" rank="0" text="" dxfId="3">
      <formula>COUNTIF(02_Lich_PM!$E$5:$E$1000,DATE(2026,8,21))&gt;0</formula>
    </cfRule>
    <cfRule type="expression" priority="467" aboveAverage="0" equalAverage="0" bottom="0" percent="0" rank="0" text="" dxfId="4">
      <formula>DATE(2026,8,21)=TODAY()</formula>
    </cfRule>
  </conditionalFormatting>
  <conditionalFormatting sqref="N29">
    <cfRule type="expression" priority="468" aboveAverage="0" equalAverage="0" bottom="0" percent="0" rank="0" text="" dxfId="3">
      <formula>COUNTIF(02_Lich_PM!$E$5:$E$1000,DATE(2026,8,22))&gt;0</formula>
    </cfRule>
    <cfRule type="expression" priority="469" aboveAverage="0" equalAverage="0" bottom="0" percent="0" rank="0" text="" dxfId="4">
      <formula>DATE(2026,8,22)=TODAY()</formula>
    </cfRule>
  </conditionalFormatting>
  <conditionalFormatting sqref="O29">
    <cfRule type="expression" priority="470" aboveAverage="0" equalAverage="0" bottom="0" percent="0" rank="0" text="" dxfId="3">
      <formula>COUNTIF(02_Lich_PM!$E$5:$E$1000,DATE(2026,8,23))&gt;0</formula>
    </cfRule>
    <cfRule type="expression" priority="471" aboveAverage="0" equalAverage="0" bottom="0" percent="0" rank="0" text="" dxfId="4">
      <formula>DATE(2026,8,23)=TODAY()</formula>
    </cfRule>
  </conditionalFormatting>
  <conditionalFormatting sqref="I30">
    <cfRule type="expression" priority="472" aboveAverage="0" equalAverage="0" bottom="0" percent="0" rank="0" text="" dxfId="3">
      <formula>COUNTIF(02_Lich_PM!$E$5:$E$1000,DATE(2026,8,24))&gt;0</formula>
    </cfRule>
    <cfRule type="expression" priority="473" aboveAverage="0" equalAverage="0" bottom="0" percent="0" rank="0" text="" dxfId="4">
      <formula>DATE(2026,8,24)=TODAY()</formula>
    </cfRule>
  </conditionalFormatting>
  <conditionalFormatting sqref="J30">
    <cfRule type="expression" priority="474" aboveAverage="0" equalAverage="0" bottom="0" percent="0" rank="0" text="" dxfId="3">
      <formula>COUNTIF(02_Lich_PM!$E$5:$E$1000,DATE(2026,8,25))&gt;0</formula>
    </cfRule>
    <cfRule type="expression" priority="475" aboveAverage="0" equalAverage="0" bottom="0" percent="0" rank="0" text="" dxfId="4">
      <formula>DATE(2026,8,25)=TODAY()</formula>
    </cfRule>
  </conditionalFormatting>
  <conditionalFormatting sqref="K30">
    <cfRule type="expression" priority="476" aboveAverage="0" equalAverage="0" bottom="0" percent="0" rank="0" text="" dxfId="3">
      <formula>COUNTIF(02_Lich_PM!$E$5:$E$1000,DATE(2026,8,26))&gt;0</formula>
    </cfRule>
    <cfRule type="expression" priority="477" aboveAverage="0" equalAverage="0" bottom="0" percent="0" rank="0" text="" dxfId="4">
      <formula>DATE(2026,8,26)=TODAY()</formula>
    </cfRule>
  </conditionalFormatting>
  <conditionalFormatting sqref="L30">
    <cfRule type="expression" priority="478" aboveAverage="0" equalAverage="0" bottom="0" percent="0" rank="0" text="" dxfId="3">
      <formula>COUNTIF(02_Lich_PM!$E$5:$E$1000,DATE(2026,8,27))&gt;0</formula>
    </cfRule>
    <cfRule type="expression" priority="479" aboveAverage="0" equalAverage="0" bottom="0" percent="0" rank="0" text="" dxfId="4">
      <formula>DATE(2026,8,27)=TODAY()</formula>
    </cfRule>
  </conditionalFormatting>
  <conditionalFormatting sqref="M30">
    <cfRule type="expression" priority="480" aboveAverage="0" equalAverage="0" bottom="0" percent="0" rank="0" text="" dxfId="3">
      <formula>COUNTIF(02_Lich_PM!$E$5:$E$1000,DATE(2026,8,28))&gt;0</formula>
    </cfRule>
    <cfRule type="expression" priority="481" aboveAverage="0" equalAverage="0" bottom="0" percent="0" rank="0" text="" dxfId="4">
      <formula>DATE(2026,8,28)=TODAY()</formula>
    </cfRule>
  </conditionalFormatting>
  <conditionalFormatting sqref="N30">
    <cfRule type="expression" priority="482" aboveAverage="0" equalAverage="0" bottom="0" percent="0" rank="0" text="" dxfId="3">
      <formula>COUNTIF(02_Lich_PM!$E$5:$E$1000,DATE(2026,8,29))&gt;0</formula>
    </cfRule>
    <cfRule type="expression" priority="483" aboveAverage="0" equalAverage="0" bottom="0" percent="0" rank="0" text="" dxfId="4">
      <formula>DATE(2026,8,29)=TODAY()</formula>
    </cfRule>
  </conditionalFormatting>
  <conditionalFormatting sqref="O30">
    <cfRule type="expression" priority="484" aboveAverage="0" equalAverage="0" bottom="0" percent="0" rank="0" text="" dxfId="3">
      <formula>COUNTIF(02_Lich_PM!$E$5:$E$1000,DATE(2026,8,30))&gt;0</formula>
    </cfRule>
    <cfRule type="expression" priority="485" aboveAverage="0" equalAverage="0" bottom="0" percent="0" rank="0" text="" dxfId="4">
      <formula>DATE(2026,8,30)=TODAY()</formula>
    </cfRule>
  </conditionalFormatting>
  <conditionalFormatting sqref="I31">
    <cfRule type="expression" priority="486" aboveAverage="0" equalAverage="0" bottom="0" percent="0" rank="0" text="" dxfId="3">
      <formula>COUNTIF(02_Lich_PM!$E$5:$E$1000,DATE(2026,8,31))&gt;0</formula>
    </cfRule>
    <cfRule type="expression" priority="487" aboveAverage="0" equalAverage="0" bottom="0" percent="0" rank="0" text="" dxfId="4">
      <formula>DATE(2026,8,31)=TODAY()</formula>
    </cfRule>
  </conditionalFormatting>
  <conditionalFormatting sqref="R26">
    <cfRule type="expression" priority="488" aboveAverage="0" equalAverage="0" bottom="0" percent="0" rank="0" text="" dxfId="3">
      <formula>COUNTIF(02_Lich_PM!$E$5:$E$1000,DATE(2026,9,1))&gt;0</formula>
    </cfRule>
    <cfRule type="expression" priority="489" aboveAverage="0" equalAverage="0" bottom="0" percent="0" rank="0" text="" dxfId="4">
      <formula>DATE(2026,9,1)=TODAY()</formula>
    </cfRule>
  </conditionalFormatting>
  <conditionalFormatting sqref="S26">
    <cfRule type="expression" priority="490" aboveAverage="0" equalAverage="0" bottom="0" percent="0" rank="0" text="" dxfId="3">
      <formula>COUNTIF(02_Lich_PM!$E$5:$E$1000,DATE(2026,9,2))&gt;0</formula>
    </cfRule>
    <cfRule type="expression" priority="491" aboveAverage="0" equalAverage="0" bottom="0" percent="0" rank="0" text="" dxfId="4">
      <formula>DATE(2026,9,2)=TODAY()</formula>
    </cfRule>
  </conditionalFormatting>
  <conditionalFormatting sqref="T26">
    <cfRule type="expression" priority="492" aboveAverage="0" equalAverage="0" bottom="0" percent="0" rank="0" text="" dxfId="3">
      <formula>COUNTIF(02_Lich_PM!$E$5:$E$1000,DATE(2026,9,3))&gt;0</formula>
    </cfRule>
    <cfRule type="expression" priority="493" aboveAverage="0" equalAverage="0" bottom="0" percent="0" rank="0" text="" dxfId="4">
      <formula>DATE(2026,9,3)=TODAY()</formula>
    </cfRule>
  </conditionalFormatting>
  <conditionalFormatting sqref="U26">
    <cfRule type="expression" priority="494" aboveAverage="0" equalAverage="0" bottom="0" percent="0" rank="0" text="" dxfId="3">
      <formula>COUNTIF(02_Lich_PM!$E$5:$E$1000,DATE(2026,9,4))&gt;0</formula>
    </cfRule>
    <cfRule type="expression" priority="495" aboveAverage="0" equalAverage="0" bottom="0" percent="0" rank="0" text="" dxfId="4">
      <formula>DATE(2026,9,4)=TODAY()</formula>
    </cfRule>
  </conditionalFormatting>
  <conditionalFormatting sqref="V26">
    <cfRule type="expression" priority="496" aboveAverage="0" equalAverage="0" bottom="0" percent="0" rank="0" text="" dxfId="3">
      <formula>COUNTIF(02_Lich_PM!$E$5:$E$1000,DATE(2026,9,5))&gt;0</formula>
    </cfRule>
    <cfRule type="expression" priority="497" aboveAverage="0" equalAverage="0" bottom="0" percent="0" rank="0" text="" dxfId="4">
      <formula>DATE(2026,9,5)=TODAY()</formula>
    </cfRule>
  </conditionalFormatting>
  <conditionalFormatting sqref="W26">
    <cfRule type="expression" priority="498" aboveAverage="0" equalAverage="0" bottom="0" percent="0" rank="0" text="" dxfId="3">
      <formula>COUNTIF(02_Lich_PM!$E$5:$E$1000,DATE(2026,9,6))&gt;0</formula>
    </cfRule>
    <cfRule type="expression" priority="499" aboveAverage="0" equalAverage="0" bottom="0" percent="0" rank="0" text="" dxfId="4">
      <formula>DATE(2026,9,6)=TODAY()</formula>
    </cfRule>
  </conditionalFormatting>
  <conditionalFormatting sqref="Q27">
    <cfRule type="expression" priority="500" aboveAverage="0" equalAverage="0" bottom="0" percent="0" rank="0" text="" dxfId="3">
      <formula>COUNTIF(02_Lich_PM!$E$5:$E$1000,DATE(2026,9,7))&gt;0</formula>
    </cfRule>
    <cfRule type="expression" priority="501" aboveAverage="0" equalAverage="0" bottom="0" percent="0" rank="0" text="" dxfId="4">
      <formula>DATE(2026,9,7)=TODAY()</formula>
    </cfRule>
  </conditionalFormatting>
  <conditionalFormatting sqref="R27">
    <cfRule type="expression" priority="502" aboveAverage="0" equalAverage="0" bottom="0" percent="0" rank="0" text="" dxfId="3">
      <formula>COUNTIF(02_Lich_PM!$E$5:$E$1000,DATE(2026,9,8))&gt;0</formula>
    </cfRule>
    <cfRule type="expression" priority="503" aboveAverage="0" equalAverage="0" bottom="0" percent="0" rank="0" text="" dxfId="4">
      <formula>DATE(2026,9,8)=TODAY()</formula>
    </cfRule>
  </conditionalFormatting>
  <conditionalFormatting sqref="S27">
    <cfRule type="expression" priority="504" aboveAverage="0" equalAverage="0" bottom="0" percent="0" rank="0" text="" dxfId="3">
      <formula>COUNTIF(02_Lich_PM!$E$5:$E$1000,DATE(2026,9,9))&gt;0</formula>
    </cfRule>
    <cfRule type="expression" priority="505" aboveAverage="0" equalAverage="0" bottom="0" percent="0" rank="0" text="" dxfId="4">
      <formula>DATE(2026,9,9)=TODAY()</formula>
    </cfRule>
  </conditionalFormatting>
  <conditionalFormatting sqref="T27">
    <cfRule type="expression" priority="506" aboveAverage="0" equalAverage="0" bottom="0" percent="0" rank="0" text="" dxfId="3">
      <formula>COUNTIF(02_Lich_PM!$E$5:$E$1000,DATE(2026,9,10))&gt;0</formula>
    </cfRule>
    <cfRule type="expression" priority="507" aboveAverage="0" equalAverage="0" bottom="0" percent="0" rank="0" text="" dxfId="4">
      <formula>DATE(2026,9,10)=TODAY()</formula>
    </cfRule>
  </conditionalFormatting>
  <conditionalFormatting sqref="U27">
    <cfRule type="expression" priority="508" aboveAverage="0" equalAverage="0" bottom="0" percent="0" rank="0" text="" dxfId="3">
      <formula>COUNTIF(02_Lich_PM!$E$5:$E$1000,DATE(2026,9,11))&gt;0</formula>
    </cfRule>
    <cfRule type="expression" priority="509" aboveAverage="0" equalAverage="0" bottom="0" percent="0" rank="0" text="" dxfId="4">
      <formula>DATE(2026,9,11)=TODAY()</formula>
    </cfRule>
  </conditionalFormatting>
  <conditionalFormatting sqref="V27">
    <cfRule type="expression" priority="510" aboveAverage="0" equalAverage="0" bottom="0" percent="0" rank="0" text="" dxfId="3">
      <formula>COUNTIF(02_Lich_PM!$E$5:$E$1000,DATE(2026,9,12))&gt;0</formula>
    </cfRule>
    <cfRule type="expression" priority="511" aboveAverage="0" equalAverage="0" bottom="0" percent="0" rank="0" text="" dxfId="4">
      <formula>DATE(2026,9,12)=TODAY()</formula>
    </cfRule>
  </conditionalFormatting>
  <conditionalFormatting sqref="W27">
    <cfRule type="expression" priority="512" aboveAverage="0" equalAverage="0" bottom="0" percent="0" rank="0" text="" dxfId="3">
      <formula>COUNTIF(02_Lich_PM!$E$5:$E$1000,DATE(2026,9,13))&gt;0</formula>
    </cfRule>
    <cfRule type="expression" priority="513" aboveAverage="0" equalAverage="0" bottom="0" percent="0" rank="0" text="" dxfId="4">
      <formula>DATE(2026,9,13)=TODAY()</formula>
    </cfRule>
  </conditionalFormatting>
  <conditionalFormatting sqref="Q28">
    <cfRule type="expression" priority="514" aboveAverage="0" equalAverage="0" bottom="0" percent="0" rank="0" text="" dxfId="3">
      <formula>COUNTIF(02_Lich_PM!$E$5:$E$1000,DATE(2026,9,14))&gt;0</formula>
    </cfRule>
    <cfRule type="expression" priority="515" aboveAverage="0" equalAverage="0" bottom="0" percent="0" rank="0" text="" dxfId="4">
      <formula>DATE(2026,9,14)=TODAY()</formula>
    </cfRule>
  </conditionalFormatting>
  <conditionalFormatting sqref="R28">
    <cfRule type="expression" priority="516" aboveAverage="0" equalAverage="0" bottom="0" percent="0" rank="0" text="" dxfId="3">
      <formula>COUNTIF(02_Lich_PM!$E$5:$E$1000,DATE(2026,9,15))&gt;0</formula>
    </cfRule>
    <cfRule type="expression" priority="517" aboveAverage="0" equalAverage="0" bottom="0" percent="0" rank="0" text="" dxfId="4">
      <formula>DATE(2026,9,15)=TODAY()</formula>
    </cfRule>
  </conditionalFormatting>
  <conditionalFormatting sqref="S28">
    <cfRule type="expression" priority="518" aboveAverage="0" equalAverage="0" bottom="0" percent="0" rank="0" text="" dxfId="3">
      <formula>COUNTIF(02_Lich_PM!$E$5:$E$1000,DATE(2026,9,16))&gt;0</formula>
    </cfRule>
    <cfRule type="expression" priority="519" aboveAverage="0" equalAverage="0" bottom="0" percent="0" rank="0" text="" dxfId="4">
      <formula>DATE(2026,9,16)=TODAY()</formula>
    </cfRule>
  </conditionalFormatting>
  <conditionalFormatting sqref="T28">
    <cfRule type="expression" priority="520" aboveAverage="0" equalAverage="0" bottom="0" percent="0" rank="0" text="" dxfId="3">
      <formula>COUNTIF(02_Lich_PM!$E$5:$E$1000,DATE(2026,9,17))&gt;0</formula>
    </cfRule>
    <cfRule type="expression" priority="521" aboveAverage="0" equalAverage="0" bottom="0" percent="0" rank="0" text="" dxfId="4">
      <formula>DATE(2026,9,17)=TODAY()</formula>
    </cfRule>
  </conditionalFormatting>
  <conditionalFormatting sqref="U28">
    <cfRule type="expression" priority="522" aboveAverage="0" equalAverage="0" bottom="0" percent="0" rank="0" text="" dxfId="3">
      <formula>COUNTIF(02_Lich_PM!$E$5:$E$1000,DATE(2026,9,18))&gt;0</formula>
    </cfRule>
    <cfRule type="expression" priority="523" aboveAverage="0" equalAverage="0" bottom="0" percent="0" rank="0" text="" dxfId="4">
      <formula>DATE(2026,9,18)=TODAY()</formula>
    </cfRule>
  </conditionalFormatting>
  <conditionalFormatting sqref="V28">
    <cfRule type="expression" priority="524" aboveAverage="0" equalAverage="0" bottom="0" percent="0" rank="0" text="" dxfId="3">
      <formula>COUNTIF(02_Lich_PM!$E$5:$E$1000,DATE(2026,9,19))&gt;0</formula>
    </cfRule>
    <cfRule type="expression" priority="525" aboveAverage="0" equalAverage="0" bottom="0" percent="0" rank="0" text="" dxfId="4">
      <formula>DATE(2026,9,19)=TODAY()</formula>
    </cfRule>
  </conditionalFormatting>
  <conditionalFormatting sqref="W28">
    <cfRule type="expression" priority="526" aboveAverage="0" equalAverage="0" bottom="0" percent="0" rank="0" text="" dxfId="3">
      <formula>COUNTIF(02_Lich_PM!$E$5:$E$1000,DATE(2026,9,20))&gt;0</formula>
    </cfRule>
    <cfRule type="expression" priority="527" aboveAverage="0" equalAverage="0" bottom="0" percent="0" rank="0" text="" dxfId="4">
      <formula>DATE(2026,9,20)=TODAY()</formula>
    </cfRule>
  </conditionalFormatting>
  <conditionalFormatting sqref="Q29">
    <cfRule type="expression" priority="528" aboveAverage="0" equalAverage="0" bottom="0" percent="0" rank="0" text="" dxfId="3">
      <formula>COUNTIF(02_Lich_PM!$E$5:$E$1000,DATE(2026,9,21))&gt;0</formula>
    </cfRule>
    <cfRule type="expression" priority="529" aboveAverage="0" equalAverage="0" bottom="0" percent="0" rank="0" text="" dxfId="4">
      <formula>DATE(2026,9,21)=TODAY()</formula>
    </cfRule>
  </conditionalFormatting>
  <conditionalFormatting sqref="R29">
    <cfRule type="expression" priority="530" aboveAverage="0" equalAverage="0" bottom="0" percent="0" rank="0" text="" dxfId="3">
      <formula>COUNTIF(02_Lich_PM!$E$5:$E$1000,DATE(2026,9,22))&gt;0</formula>
    </cfRule>
    <cfRule type="expression" priority="531" aboveAverage="0" equalAverage="0" bottom="0" percent="0" rank="0" text="" dxfId="4">
      <formula>DATE(2026,9,22)=TODAY()</formula>
    </cfRule>
  </conditionalFormatting>
  <conditionalFormatting sqref="S29">
    <cfRule type="expression" priority="532" aboveAverage="0" equalAverage="0" bottom="0" percent="0" rank="0" text="" dxfId="3">
      <formula>COUNTIF(02_Lich_PM!$E$5:$E$1000,DATE(2026,9,23))&gt;0</formula>
    </cfRule>
    <cfRule type="expression" priority="533" aboveAverage="0" equalAverage="0" bottom="0" percent="0" rank="0" text="" dxfId="4">
      <formula>DATE(2026,9,23)=TODAY()</formula>
    </cfRule>
  </conditionalFormatting>
  <conditionalFormatting sqref="T29">
    <cfRule type="expression" priority="534" aboveAverage="0" equalAverage="0" bottom="0" percent="0" rank="0" text="" dxfId="3">
      <formula>COUNTIF(02_Lich_PM!$E$5:$E$1000,DATE(2026,9,24))&gt;0</formula>
    </cfRule>
    <cfRule type="expression" priority="535" aboveAverage="0" equalAverage="0" bottom="0" percent="0" rank="0" text="" dxfId="4">
      <formula>DATE(2026,9,24)=TODAY()</formula>
    </cfRule>
  </conditionalFormatting>
  <conditionalFormatting sqref="U29">
    <cfRule type="expression" priority="536" aboveAverage="0" equalAverage="0" bottom="0" percent="0" rank="0" text="" dxfId="3">
      <formula>COUNTIF(02_Lich_PM!$E$5:$E$1000,DATE(2026,9,25))&gt;0</formula>
    </cfRule>
    <cfRule type="expression" priority="537" aboveAverage="0" equalAverage="0" bottom="0" percent="0" rank="0" text="" dxfId="4">
      <formula>DATE(2026,9,25)=TODAY()</formula>
    </cfRule>
  </conditionalFormatting>
  <conditionalFormatting sqref="V29">
    <cfRule type="expression" priority="538" aboveAverage="0" equalAverage="0" bottom="0" percent="0" rank="0" text="" dxfId="3">
      <formula>COUNTIF(02_Lich_PM!$E$5:$E$1000,DATE(2026,9,26))&gt;0</formula>
    </cfRule>
    <cfRule type="expression" priority="539" aboveAverage="0" equalAverage="0" bottom="0" percent="0" rank="0" text="" dxfId="4">
      <formula>DATE(2026,9,26)=TODAY()</formula>
    </cfRule>
  </conditionalFormatting>
  <conditionalFormatting sqref="W29">
    <cfRule type="expression" priority="540" aboveAverage="0" equalAverage="0" bottom="0" percent="0" rank="0" text="" dxfId="3">
      <formula>COUNTIF(02_Lich_PM!$E$5:$E$1000,DATE(2026,9,27))&gt;0</formula>
    </cfRule>
    <cfRule type="expression" priority="541" aboveAverage="0" equalAverage="0" bottom="0" percent="0" rank="0" text="" dxfId="4">
      <formula>DATE(2026,9,27)=TODAY()</formula>
    </cfRule>
  </conditionalFormatting>
  <conditionalFormatting sqref="Q30">
    <cfRule type="expression" priority="542" aboveAverage="0" equalAverage="0" bottom="0" percent="0" rank="0" text="" dxfId="3">
      <formula>COUNTIF(02_Lich_PM!$E$5:$E$1000,DATE(2026,9,28))&gt;0</formula>
    </cfRule>
    <cfRule type="expression" priority="543" aboveAverage="0" equalAverage="0" bottom="0" percent="0" rank="0" text="" dxfId="4">
      <formula>DATE(2026,9,28)=TODAY()</formula>
    </cfRule>
  </conditionalFormatting>
  <conditionalFormatting sqref="R30">
    <cfRule type="expression" priority="544" aboveAverage="0" equalAverage="0" bottom="0" percent="0" rank="0" text="" dxfId="3">
      <formula>COUNTIF(02_Lich_PM!$E$5:$E$1000,DATE(2026,9,29))&gt;0</formula>
    </cfRule>
    <cfRule type="expression" priority="545" aboveAverage="0" equalAverage="0" bottom="0" percent="0" rank="0" text="" dxfId="4">
      <formula>DATE(2026,9,29)=TODAY()</formula>
    </cfRule>
  </conditionalFormatting>
  <conditionalFormatting sqref="S30">
    <cfRule type="expression" priority="546" aboveAverage="0" equalAverage="0" bottom="0" percent="0" rank="0" text="" dxfId="3">
      <formula>COUNTIF(02_Lich_PM!$E$5:$E$1000,DATE(2026,9,30))&gt;0</formula>
    </cfRule>
    <cfRule type="expression" priority="547" aboveAverage="0" equalAverage="0" bottom="0" percent="0" rank="0" text="" dxfId="4">
      <formula>DATE(2026,9,30)=TODAY()</formula>
    </cfRule>
  </conditionalFormatting>
  <conditionalFormatting sqref="D35">
    <cfRule type="expression" priority="548" aboveAverage="0" equalAverage="0" bottom="0" percent="0" rank="0" text="" dxfId="3">
      <formula>COUNTIF(02_Lich_PM!$E$5:$E$1000,DATE(2026,10,1))&gt;0</formula>
    </cfRule>
    <cfRule type="expression" priority="549" aboveAverage="0" equalAverage="0" bottom="0" percent="0" rank="0" text="" dxfId="4">
      <formula>DATE(2026,10,1)=TODAY()</formula>
    </cfRule>
  </conditionalFormatting>
  <conditionalFormatting sqref="E35">
    <cfRule type="expression" priority="550" aboveAverage="0" equalAverage="0" bottom="0" percent="0" rank="0" text="" dxfId="3">
      <formula>COUNTIF(02_Lich_PM!$E$5:$E$1000,DATE(2026,10,2))&gt;0</formula>
    </cfRule>
    <cfRule type="expression" priority="551" aboveAverage="0" equalAverage="0" bottom="0" percent="0" rank="0" text="" dxfId="4">
      <formula>DATE(2026,10,2)=TODAY()</formula>
    </cfRule>
  </conditionalFormatting>
  <conditionalFormatting sqref="F35">
    <cfRule type="expression" priority="552" aboveAverage="0" equalAverage="0" bottom="0" percent="0" rank="0" text="" dxfId="3">
      <formula>COUNTIF(02_Lich_PM!$E$5:$E$1000,DATE(2026,10,3))&gt;0</formula>
    </cfRule>
    <cfRule type="expression" priority="553" aboveAverage="0" equalAverage="0" bottom="0" percent="0" rank="0" text="" dxfId="4">
      <formula>DATE(2026,10,3)=TODAY()</formula>
    </cfRule>
  </conditionalFormatting>
  <conditionalFormatting sqref="G35">
    <cfRule type="expression" priority="554" aboveAverage="0" equalAverage="0" bottom="0" percent="0" rank="0" text="" dxfId="3">
      <formula>COUNTIF(02_Lich_PM!$E$5:$E$1000,DATE(2026,10,4))&gt;0</formula>
    </cfRule>
    <cfRule type="expression" priority="555" aboveAverage="0" equalAverage="0" bottom="0" percent="0" rank="0" text="" dxfId="4">
      <formula>DATE(2026,10,4)=TODAY()</formula>
    </cfRule>
  </conditionalFormatting>
  <conditionalFormatting sqref="A36">
    <cfRule type="expression" priority="556" aboveAverage="0" equalAverage="0" bottom="0" percent="0" rank="0" text="" dxfId="3">
      <formula>COUNTIF(02_Lich_PM!$E$5:$E$1000,DATE(2026,10,5))&gt;0</formula>
    </cfRule>
    <cfRule type="expression" priority="557" aboveAverage="0" equalAverage="0" bottom="0" percent="0" rank="0" text="" dxfId="4">
      <formula>DATE(2026,10,5)=TODAY()</formula>
    </cfRule>
  </conditionalFormatting>
  <conditionalFormatting sqref="B36">
    <cfRule type="expression" priority="558" aboveAverage="0" equalAverage="0" bottom="0" percent="0" rank="0" text="" dxfId="3">
      <formula>COUNTIF(02_Lich_PM!$E$5:$E$1000,DATE(2026,10,6))&gt;0</formula>
    </cfRule>
    <cfRule type="expression" priority="559" aboveAverage="0" equalAverage="0" bottom="0" percent="0" rank="0" text="" dxfId="4">
      <formula>DATE(2026,10,6)=TODAY()</formula>
    </cfRule>
  </conditionalFormatting>
  <conditionalFormatting sqref="C36">
    <cfRule type="expression" priority="560" aboveAverage="0" equalAverage="0" bottom="0" percent="0" rank="0" text="" dxfId="3">
      <formula>COUNTIF(02_Lich_PM!$E$5:$E$1000,DATE(2026,10,7))&gt;0</formula>
    </cfRule>
    <cfRule type="expression" priority="561" aboveAverage="0" equalAverage="0" bottom="0" percent="0" rank="0" text="" dxfId="4">
      <formula>DATE(2026,10,7)=TODAY()</formula>
    </cfRule>
  </conditionalFormatting>
  <conditionalFormatting sqref="D36">
    <cfRule type="expression" priority="562" aboveAverage="0" equalAverage="0" bottom="0" percent="0" rank="0" text="" dxfId="3">
      <formula>COUNTIF(02_Lich_PM!$E$5:$E$1000,DATE(2026,10,8))&gt;0</formula>
    </cfRule>
    <cfRule type="expression" priority="563" aboveAverage="0" equalAverage="0" bottom="0" percent="0" rank="0" text="" dxfId="4">
      <formula>DATE(2026,10,8)=TODAY()</formula>
    </cfRule>
  </conditionalFormatting>
  <conditionalFormatting sqref="E36">
    <cfRule type="expression" priority="564" aboveAverage="0" equalAverage="0" bottom="0" percent="0" rank="0" text="" dxfId="3">
      <formula>COUNTIF(02_Lich_PM!$E$5:$E$1000,DATE(2026,10,9))&gt;0</formula>
    </cfRule>
    <cfRule type="expression" priority="565" aboveAverage="0" equalAverage="0" bottom="0" percent="0" rank="0" text="" dxfId="4">
      <formula>DATE(2026,10,9)=TODAY()</formula>
    </cfRule>
  </conditionalFormatting>
  <conditionalFormatting sqref="F36">
    <cfRule type="expression" priority="566" aboveAverage="0" equalAverage="0" bottom="0" percent="0" rank="0" text="" dxfId="3">
      <formula>COUNTIF(02_Lich_PM!$E$5:$E$1000,DATE(2026,10,10))&gt;0</formula>
    </cfRule>
    <cfRule type="expression" priority="567" aboveAverage="0" equalAverage="0" bottom="0" percent="0" rank="0" text="" dxfId="4">
      <formula>DATE(2026,10,10)=TODAY()</formula>
    </cfRule>
  </conditionalFormatting>
  <conditionalFormatting sqref="G36">
    <cfRule type="expression" priority="568" aboveAverage="0" equalAverage="0" bottom="0" percent="0" rank="0" text="" dxfId="3">
      <formula>COUNTIF(02_Lich_PM!$E$5:$E$1000,DATE(2026,10,11))&gt;0</formula>
    </cfRule>
    <cfRule type="expression" priority="569" aboveAverage="0" equalAverage="0" bottom="0" percent="0" rank="0" text="" dxfId="4">
      <formula>DATE(2026,10,11)=TODAY()</formula>
    </cfRule>
  </conditionalFormatting>
  <conditionalFormatting sqref="A37">
    <cfRule type="expression" priority="570" aboveAverage="0" equalAverage="0" bottom="0" percent="0" rank="0" text="" dxfId="3">
      <formula>COUNTIF(02_Lich_PM!$E$5:$E$1000,DATE(2026,10,12))&gt;0</formula>
    </cfRule>
    <cfRule type="expression" priority="571" aboveAverage="0" equalAverage="0" bottom="0" percent="0" rank="0" text="" dxfId="4">
      <formula>DATE(2026,10,12)=TODAY()</formula>
    </cfRule>
  </conditionalFormatting>
  <conditionalFormatting sqref="B37">
    <cfRule type="expression" priority="572" aboveAverage="0" equalAverage="0" bottom="0" percent="0" rank="0" text="" dxfId="3">
      <formula>COUNTIF(02_Lich_PM!$E$5:$E$1000,DATE(2026,10,13))&gt;0</formula>
    </cfRule>
    <cfRule type="expression" priority="573" aboveAverage="0" equalAverage="0" bottom="0" percent="0" rank="0" text="" dxfId="4">
      <formula>DATE(2026,10,13)=TODAY()</formula>
    </cfRule>
  </conditionalFormatting>
  <conditionalFormatting sqref="C37">
    <cfRule type="expression" priority="574" aboveAverage="0" equalAverage="0" bottom="0" percent="0" rank="0" text="" dxfId="3">
      <formula>COUNTIF(02_Lich_PM!$E$5:$E$1000,DATE(2026,10,14))&gt;0</formula>
    </cfRule>
    <cfRule type="expression" priority="575" aboveAverage="0" equalAverage="0" bottom="0" percent="0" rank="0" text="" dxfId="4">
      <formula>DATE(2026,10,14)=TODAY()</formula>
    </cfRule>
  </conditionalFormatting>
  <conditionalFormatting sqref="D37">
    <cfRule type="expression" priority="576" aboveAverage="0" equalAverage="0" bottom="0" percent="0" rank="0" text="" dxfId="3">
      <formula>COUNTIF(02_Lich_PM!$E$5:$E$1000,DATE(2026,10,15))&gt;0</formula>
    </cfRule>
    <cfRule type="expression" priority="577" aboveAverage="0" equalAverage="0" bottom="0" percent="0" rank="0" text="" dxfId="4">
      <formula>DATE(2026,10,15)=TODAY()</formula>
    </cfRule>
  </conditionalFormatting>
  <conditionalFormatting sqref="E37">
    <cfRule type="expression" priority="578" aboveAverage="0" equalAverage="0" bottom="0" percent="0" rank="0" text="" dxfId="3">
      <formula>COUNTIF(02_Lich_PM!$E$5:$E$1000,DATE(2026,10,16))&gt;0</formula>
    </cfRule>
    <cfRule type="expression" priority="579" aboveAverage="0" equalAverage="0" bottom="0" percent="0" rank="0" text="" dxfId="4">
      <formula>DATE(2026,10,16)=TODAY()</formula>
    </cfRule>
  </conditionalFormatting>
  <conditionalFormatting sqref="F37">
    <cfRule type="expression" priority="580" aboveAverage="0" equalAverage="0" bottom="0" percent="0" rank="0" text="" dxfId="3">
      <formula>COUNTIF(02_Lich_PM!$E$5:$E$1000,DATE(2026,10,17))&gt;0</formula>
    </cfRule>
    <cfRule type="expression" priority="581" aboveAverage="0" equalAverage="0" bottom="0" percent="0" rank="0" text="" dxfId="4">
      <formula>DATE(2026,10,17)=TODAY()</formula>
    </cfRule>
  </conditionalFormatting>
  <conditionalFormatting sqref="G37">
    <cfRule type="expression" priority="582" aboveAverage="0" equalAverage="0" bottom="0" percent="0" rank="0" text="" dxfId="3">
      <formula>COUNTIF(02_Lich_PM!$E$5:$E$1000,DATE(2026,10,18))&gt;0</formula>
    </cfRule>
    <cfRule type="expression" priority="583" aboveAverage="0" equalAverage="0" bottom="0" percent="0" rank="0" text="" dxfId="4">
      <formula>DATE(2026,10,18)=TODAY()</formula>
    </cfRule>
  </conditionalFormatting>
  <conditionalFormatting sqref="A38">
    <cfRule type="expression" priority="584" aboveAverage="0" equalAverage="0" bottom="0" percent="0" rank="0" text="" dxfId="3">
      <formula>COUNTIF(02_Lich_PM!$E$5:$E$1000,DATE(2026,10,19))&gt;0</formula>
    </cfRule>
    <cfRule type="expression" priority="585" aboveAverage="0" equalAverage="0" bottom="0" percent="0" rank="0" text="" dxfId="4">
      <formula>DATE(2026,10,19)=TODAY()</formula>
    </cfRule>
  </conditionalFormatting>
  <conditionalFormatting sqref="B38">
    <cfRule type="expression" priority="586" aboveAverage="0" equalAverage="0" bottom="0" percent="0" rank="0" text="" dxfId="3">
      <formula>COUNTIF(02_Lich_PM!$E$5:$E$1000,DATE(2026,10,20))&gt;0</formula>
    </cfRule>
    <cfRule type="expression" priority="587" aboveAverage="0" equalAverage="0" bottom="0" percent="0" rank="0" text="" dxfId="4">
      <formula>DATE(2026,10,20)=TODAY()</formula>
    </cfRule>
  </conditionalFormatting>
  <conditionalFormatting sqref="C38">
    <cfRule type="expression" priority="588" aboveAverage="0" equalAverage="0" bottom="0" percent="0" rank="0" text="" dxfId="3">
      <formula>COUNTIF(02_Lich_PM!$E$5:$E$1000,DATE(2026,10,21))&gt;0</formula>
    </cfRule>
    <cfRule type="expression" priority="589" aboveAverage="0" equalAverage="0" bottom="0" percent="0" rank="0" text="" dxfId="4">
      <formula>DATE(2026,10,21)=TODAY()</formula>
    </cfRule>
  </conditionalFormatting>
  <conditionalFormatting sqref="D38">
    <cfRule type="expression" priority="590" aboveAverage="0" equalAverage="0" bottom="0" percent="0" rank="0" text="" dxfId="3">
      <formula>COUNTIF(02_Lich_PM!$E$5:$E$1000,DATE(2026,10,22))&gt;0</formula>
    </cfRule>
    <cfRule type="expression" priority="591" aboveAverage="0" equalAverage="0" bottom="0" percent="0" rank="0" text="" dxfId="4">
      <formula>DATE(2026,10,22)=TODAY()</formula>
    </cfRule>
  </conditionalFormatting>
  <conditionalFormatting sqref="E38">
    <cfRule type="expression" priority="592" aboveAverage="0" equalAverage="0" bottom="0" percent="0" rank="0" text="" dxfId="3">
      <formula>COUNTIF(02_Lich_PM!$E$5:$E$1000,DATE(2026,10,23))&gt;0</formula>
    </cfRule>
    <cfRule type="expression" priority="593" aboveAverage="0" equalAverage="0" bottom="0" percent="0" rank="0" text="" dxfId="4">
      <formula>DATE(2026,10,23)=TODAY()</formula>
    </cfRule>
  </conditionalFormatting>
  <conditionalFormatting sqref="F38">
    <cfRule type="expression" priority="594" aboveAverage="0" equalAverage="0" bottom="0" percent="0" rank="0" text="" dxfId="3">
      <formula>COUNTIF(02_Lich_PM!$E$5:$E$1000,DATE(2026,10,24))&gt;0</formula>
    </cfRule>
    <cfRule type="expression" priority="595" aboveAverage="0" equalAverage="0" bottom="0" percent="0" rank="0" text="" dxfId="4">
      <formula>DATE(2026,10,24)=TODAY()</formula>
    </cfRule>
  </conditionalFormatting>
  <conditionalFormatting sqref="G38">
    <cfRule type="expression" priority="596" aboveAverage="0" equalAverage="0" bottom="0" percent="0" rank="0" text="" dxfId="3">
      <formula>COUNTIF(02_Lich_PM!$E$5:$E$1000,DATE(2026,10,25))&gt;0</formula>
    </cfRule>
    <cfRule type="expression" priority="597" aboveAverage="0" equalAverage="0" bottom="0" percent="0" rank="0" text="" dxfId="4">
      <formula>DATE(2026,10,25)=TODAY()</formula>
    </cfRule>
  </conditionalFormatting>
  <conditionalFormatting sqref="A39">
    <cfRule type="expression" priority="598" aboveAverage="0" equalAverage="0" bottom="0" percent="0" rank="0" text="" dxfId="3">
      <formula>COUNTIF(02_Lich_PM!$E$5:$E$1000,DATE(2026,10,26))&gt;0</formula>
    </cfRule>
    <cfRule type="expression" priority="599" aboveAverage="0" equalAverage="0" bottom="0" percent="0" rank="0" text="" dxfId="4">
      <formula>DATE(2026,10,26)=TODAY()</formula>
    </cfRule>
  </conditionalFormatting>
  <conditionalFormatting sqref="B39">
    <cfRule type="expression" priority="600" aboveAverage="0" equalAverage="0" bottom="0" percent="0" rank="0" text="" dxfId="3">
      <formula>COUNTIF(02_Lich_PM!$E$5:$E$1000,DATE(2026,10,27))&gt;0</formula>
    </cfRule>
    <cfRule type="expression" priority="601" aboveAverage="0" equalAverage="0" bottom="0" percent="0" rank="0" text="" dxfId="4">
      <formula>DATE(2026,10,27)=TODAY()</formula>
    </cfRule>
  </conditionalFormatting>
  <conditionalFormatting sqref="C39">
    <cfRule type="expression" priority="602" aboveAverage="0" equalAverage="0" bottom="0" percent="0" rank="0" text="" dxfId="3">
      <formula>COUNTIF(02_Lich_PM!$E$5:$E$1000,DATE(2026,10,28))&gt;0</formula>
    </cfRule>
    <cfRule type="expression" priority="603" aboveAverage="0" equalAverage="0" bottom="0" percent="0" rank="0" text="" dxfId="4">
      <formula>DATE(2026,10,28)=TODAY()</formula>
    </cfRule>
  </conditionalFormatting>
  <conditionalFormatting sqref="D39">
    <cfRule type="expression" priority="604" aboveAverage="0" equalAverage="0" bottom="0" percent="0" rank="0" text="" dxfId="3">
      <formula>COUNTIF(02_Lich_PM!$E$5:$E$1000,DATE(2026,10,29))&gt;0</formula>
    </cfRule>
    <cfRule type="expression" priority="605" aboveAverage="0" equalAverage="0" bottom="0" percent="0" rank="0" text="" dxfId="4">
      <formula>DATE(2026,10,29)=TODAY()</formula>
    </cfRule>
  </conditionalFormatting>
  <conditionalFormatting sqref="E39">
    <cfRule type="expression" priority="606" aboveAverage="0" equalAverage="0" bottom="0" percent="0" rank="0" text="" dxfId="3">
      <formula>COUNTIF(02_Lich_PM!$E$5:$E$1000,DATE(2026,10,30))&gt;0</formula>
    </cfRule>
    <cfRule type="expression" priority="607" aboveAverage="0" equalAverage="0" bottom="0" percent="0" rank="0" text="" dxfId="4">
      <formula>DATE(2026,10,30)=TODAY()</formula>
    </cfRule>
  </conditionalFormatting>
  <conditionalFormatting sqref="F39">
    <cfRule type="expression" priority="608" aboveAverage="0" equalAverage="0" bottom="0" percent="0" rank="0" text="" dxfId="3">
      <formula>COUNTIF(02_Lich_PM!$E$5:$E$1000,DATE(2026,10,31))&gt;0</formula>
    </cfRule>
    <cfRule type="expression" priority="609" aboveAverage="0" equalAverage="0" bottom="0" percent="0" rank="0" text="" dxfId="4">
      <formula>DATE(2026,10,31)=TODAY()</formula>
    </cfRule>
  </conditionalFormatting>
  <conditionalFormatting sqref="O35">
    <cfRule type="expression" priority="610" aboveAverage="0" equalAverage="0" bottom="0" percent="0" rank="0" text="" dxfId="3">
      <formula>COUNTIF(02_Lich_PM!$E$5:$E$1000,DATE(2026,11,1))&gt;0</formula>
    </cfRule>
    <cfRule type="expression" priority="611" aboveAverage="0" equalAverage="0" bottom="0" percent="0" rank="0" text="" dxfId="4">
      <formula>DATE(2026,11,1)=TODAY()</formula>
    </cfRule>
  </conditionalFormatting>
  <conditionalFormatting sqref="I36">
    <cfRule type="expression" priority="612" aboveAverage="0" equalAverage="0" bottom="0" percent="0" rank="0" text="" dxfId="3">
      <formula>COUNTIF(02_Lich_PM!$E$5:$E$1000,DATE(2026,11,2))&gt;0</formula>
    </cfRule>
    <cfRule type="expression" priority="613" aboveAverage="0" equalAverage="0" bottom="0" percent="0" rank="0" text="" dxfId="4">
      <formula>DATE(2026,11,2)=TODAY()</formula>
    </cfRule>
  </conditionalFormatting>
  <conditionalFormatting sqref="J36">
    <cfRule type="expression" priority="614" aboveAverage="0" equalAverage="0" bottom="0" percent="0" rank="0" text="" dxfId="3">
      <formula>COUNTIF(02_Lich_PM!$E$5:$E$1000,DATE(2026,11,3))&gt;0</formula>
    </cfRule>
    <cfRule type="expression" priority="615" aboveAverage="0" equalAverage="0" bottom="0" percent="0" rank="0" text="" dxfId="4">
      <formula>DATE(2026,11,3)=TODAY()</formula>
    </cfRule>
  </conditionalFormatting>
  <conditionalFormatting sqref="K36">
    <cfRule type="expression" priority="616" aboveAverage="0" equalAverage="0" bottom="0" percent="0" rank="0" text="" dxfId="3">
      <formula>COUNTIF(02_Lich_PM!$E$5:$E$1000,DATE(2026,11,4))&gt;0</formula>
    </cfRule>
    <cfRule type="expression" priority="617" aboveAverage="0" equalAverage="0" bottom="0" percent="0" rank="0" text="" dxfId="4">
      <formula>DATE(2026,11,4)=TODAY()</formula>
    </cfRule>
  </conditionalFormatting>
  <conditionalFormatting sqref="L36">
    <cfRule type="expression" priority="618" aboveAverage="0" equalAverage="0" bottom="0" percent="0" rank="0" text="" dxfId="3">
      <formula>COUNTIF(02_Lich_PM!$E$5:$E$1000,DATE(2026,11,5))&gt;0</formula>
    </cfRule>
    <cfRule type="expression" priority="619" aboveAverage="0" equalAverage="0" bottom="0" percent="0" rank="0" text="" dxfId="4">
      <formula>DATE(2026,11,5)=TODAY()</formula>
    </cfRule>
  </conditionalFormatting>
  <conditionalFormatting sqref="M36">
    <cfRule type="expression" priority="620" aboveAverage="0" equalAverage="0" bottom="0" percent="0" rank="0" text="" dxfId="3">
      <formula>COUNTIF(02_Lich_PM!$E$5:$E$1000,DATE(2026,11,6))&gt;0</formula>
    </cfRule>
    <cfRule type="expression" priority="621" aboveAverage="0" equalAverage="0" bottom="0" percent="0" rank="0" text="" dxfId="4">
      <formula>DATE(2026,11,6)=TODAY()</formula>
    </cfRule>
  </conditionalFormatting>
  <conditionalFormatting sqref="N36">
    <cfRule type="expression" priority="622" aboveAverage="0" equalAverage="0" bottom="0" percent="0" rank="0" text="" dxfId="3">
      <formula>COUNTIF(02_Lich_PM!$E$5:$E$1000,DATE(2026,11,7))&gt;0</formula>
    </cfRule>
    <cfRule type="expression" priority="623" aboveAverage="0" equalAverage="0" bottom="0" percent="0" rank="0" text="" dxfId="4">
      <formula>DATE(2026,11,7)=TODAY()</formula>
    </cfRule>
  </conditionalFormatting>
  <conditionalFormatting sqref="O36">
    <cfRule type="expression" priority="624" aboveAverage="0" equalAverage="0" bottom="0" percent="0" rank="0" text="" dxfId="3">
      <formula>COUNTIF(02_Lich_PM!$E$5:$E$1000,DATE(2026,11,8))&gt;0</formula>
    </cfRule>
    <cfRule type="expression" priority="625" aboveAverage="0" equalAverage="0" bottom="0" percent="0" rank="0" text="" dxfId="4">
      <formula>DATE(2026,11,8)=TODAY()</formula>
    </cfRule>
  </conditionalFormatting>
  <conditionalFormatting sqref="I37">
    <cfRule type="expression" priority="626" aboveAverage="0" equalAverage="0" bottom="0" percent="0" rank="0" text="" dxfId="3">
      <formula>COUNTIF(02_Lich_PM!$E$5:$E$1000,DATE(2026,11,9))&gt;0</formula>
    </cfRule>
    <cfRule type="expression" priority="627" aboveAverage="0" equalAverage="0" bottom="0" percent="0" rank="0" text="" dxfId="4">
      <formula>DATE(2026,11,9)=TODAY()</formula>
    </cfRule>
  </conditionalFormatting>
  <conditionalFormatting sqref="J37">
    <cfRule type="expression" priority="628" aboveAverage="0" equalAverage="0" bottom="0" percent="0" rank="0" text="" dxfId="3">
      <formula>COUNTIF(02_Lich_PM!$E$5:$E$1000,DATE(2026,11,10))&gt;0</formula>
    </cfRule>
    <cfRule type="expression" priority="629" aboveAverage="0" equalAverage="0" bottom="0" percent="0" rank="0" text="" dxfId="4">
      <formula>DATE(2026,11,10)=TODAY()</formula>
    </cfRule>
  </conditionalFormatting>
  <conditionalFormatting sqref="K37">
    <cfRule type="expression" priority="630" aboveAverage="0" equalAverage="0" bottom="0" percent="0" rank="0" text="" dxfId="3">
      <formula>COUNTIF(02_Lich_PM!$E$5:$E$1000,DATE(2026,11,11))&gt;0</formula>
    </cfRule>
    <cfRule type="expression" priority="631" aboveAverage="0" equalAverage="0" bottom="0" percent="0" rank="0" text="" dxfId="4">
      <formula>DATE(2026,11,11)=TODAY()</formula>
    </cfRule>
  </conditionalFormatting>
  <conditionalFormatting sqref="L37">
    <cfRule type="expression" priority="632" aboveAverage="0" equalAverage="0" bottom="0" percent="0" rank="0" text="" dxfId="3">
      <formula>COUNTIF(02_Lich_PM!$E$5:$E$1000,DATE(2026,11,12))&gt;0</formula>
    </cfRule>
    <cfRule type="expression" priority="633" aboveAverage="0" equalAverage="0" bottom="0" percent="0" rank="0" text="" dxfId="4">
      <formula>DATE(2026,11,12)=TODAY()</formula>
    </cfRule>
  </conditionalFormatting>
  <conditionalFormatting sqref="M37">
    <cfRule type="expression" priority="634" aboveAverage="0" equalAverage="0" bottom="0" percent="0" rank="0" text="" dxfId="3">
      <formula>COUNTIF(02_Lich_PM!$E$5:$E$1000,DATE(2026,11,13))&gt;0</formula>
    </cfRule>
    <cfRule type="expression" priority="635" aboveAverage="0" equalAverage="0" bottom="0" percent="0" rank="0" text="" dxfId="4">
      <formula>DATE(2026,11,13)=TODAY()</formula>
    </cfRule>
  </conditionalFormatting>
  <conditionalFormatting sqref="N37">
    <cfRule type="expression" priority="636" aboveAverage="0" equalAverage="0" bottom="0" percent="0" rank="0" text="" dxfId="3">
      <formula>COUNTIF(02_Lich_PM!$E$5:$E$1000,DATE(2026,11,14))&gt;0</formula>
    </cfRule>
    <cfRule type="expression" priority="637" aboveAverage="0" equalAverage="0" bottom="0" percent="0" rank="0" text="" dxfId="4">
      <formula>DATE(2026,11,14)=TODAY()</formula>
    </cfRule>
  </conditionalFormatting>
  <conditionalFormatting sqref="O37">
    <cfRule type="expression" priority="638" aboveAverage="0" equalAverage="0" bottom="0" percent="0" rank="0" text="" dxfId="3">
      <formula>COUNTIF(02_Lich_PM!$E$5:$E$1000,DATE(2026,11,15))&gt;0</formula>
    </cfRule>
    <cfRule type="expression" priority="639" aboveAverage="0" equalAverage="0" bottom="0" percent="0" rank="0" text="" dxfId="4">
      <formula>DATE(2026,11,15)=TODAY()</formula>
    </cfRule>
  </conditionalFormatting>
  <conditionalFormatting sqref="I38">
    <cfRule type="expression" priority="640" aboveAverage="0" equalAverage="0" bottom="0" percent="0" rank="0" text="" dxfId="3">
      <formula>COUNTIF(02_Lich_PM!$E$5:$E$1000,DATE(2026,11,16))&gt;0</formula>
    </cfRule>
    <cfRule type="expression" priority="641" aboveAverage="0" equalAverage="0" bottom="0" percent="0" rank="0" text="" dxfId="4">
      <formula>DATE(2026,11,16)=TODAY()</formula>
    </cfRule>
  </conditionalFormatting>
  <conditionalFormatting sqref="J38">
    <cfRule type="expression" priority="642" aboveAverage="0" equalAverage="0" bottom="0" percent="0" rank="0" text="" dxfId="3">
      <formula>COUNTIF(02_Lich_PM!$E$5:$E$1000,DATE(2026,11,17))&gt;0</formula>
    </cfRule>
    <cfRule type="expression" priority="643" aboveAverage="0" equalAverage="0" bottom="0" percent="0" rank="0" text="" dxfId="4">
      <formula>DATE(2026,11,17)=TODAY()</formula>
    </cfRule>
  </conditionalFormatting>
  <conditionalFormatting sqref="K38">
    <cfRule type="expression" priority="644" aboveAverage="0" equalAverage="0" bottom="0" percent="0" rank="0" text="" dxfId="3">
      <formula>COUNTIF(02_Lich_PM!$E$5:$E$1000,DATE(2026,11,18))&gt;0</formula>
    </cfRule>
    <cfRule type="expression" priority="645" aboveAverage="0" equalAverage="0" bottom="0" percent="0" rank="0" text="" dxfId="4">
      <formula>DATE(2026,11,18)=TODAY()</formula>
    </cfRule>
  </conditionalFormatting>
  <conditionalFormatting sqref="L38">
    <cfRule type="expression" priority="646" aboveAverage="0" equalAverage="0" bottom="0" percent="0" rank="0" text="" dxfId="3">
      <formula>COUNTIF(02_Lich_PM!$E$5:$E$1000,DATE(2026,11,19))&gt;0</formula>
    </cfRule>
    <cfRule type="expression" priority="647" aboveAverage="0" equalAverage="0" bottom="0" percent="0" rank="0" text="" dxfId="4">
      <formula>DATE(2026,11,19)=TODAY()</formula>
    </cfRule>
  </conditionalFormatting>
  <conditionalFormatting sqref="M38">
    <cfRule type="expression" priority="648" aboveAverage="0" equalAverage="0" bottom="0" percent="0" rank="0" text="" dxfId="3">
      <formula>COUNTIF(02_Lich_PM!$E$5:$E$1000,DATE(2026,11,20))&gt;0</formula>
    </cfRule>
    <cfRule type="expression" priority="649" aboveAverage="0" equalAverage="0" bottom="0" percent="0" rank="0" text="" dxfId="4">
      <formula>DATE(2026,11,20)=TODAY()</formula>
    </cfRule>
  </conditionalFormatting>
  <conditionalFormatting sqref="N38">
    <cfRule type="expression" priority="650" aboveAverage="0" equalAverage="0" bottom="0" percent="0" rank="0" text="" dxfId="3">
      <formula>COUNTIF(02_Lich_PM!$E$5:$E$1000,DATE(2026,11,21))&gt;0</formula>
    </cfRule>
    <cfRule type="expression" priority="651" aboveAverage="0" equalAverage="0" bottom="0" percent="0" rank="0" text="" dxfId="4">
      <formula>DATE(2026,11,21)=TODAY()</formula>
    </cfRule>
  </conditionalFormatting>
  <conditionalFormatting sqref="O38">
    <cfRule type="expression" priority="652" aboveAverage="0" equalAverage="0" bottom="0" percent="0" rank="0" text="" dxfId="3">
      <formula>COUNTIF(02_Lich_PM!$E$5:$E$1000,DATE(2026,11,22))&gt;0</formula>
    </cfRule>
    <cfRule type="expression" priority="653" aboveAverage="0" equalAverage="0" bottom="0" percent="0" rank="0" text="" dxfId="4">
      <formula>DATE(2026,11,22)=TODAY()</formula>
    </cfRule>
  </conditionalFormatting>
  <conditionalFormatting sqref="I39">
    <cfRule type="expression" priority="654" aboveAverage="0" equalAverage="0" bottom="0" percent="0" rank="0" text="" dxfId="3">
      <formula>COUNTIF(02_Lich_PM!$E$5:$E$1000,DATE(2026,11,23))&gt;0</formula>
    </cfRule>
    <cfRule type="expression" priority="655" aboveAverage="0" equalAverage="0" bottom="0" percent="0" rank="0" text="" dxfId="4">
      <formula>DATE(2026,11,23)=TODAY()</formula>
    </cfRule>
  </conditionalFormatting>
  <conditionalFormatting sqref="J39">
    <cfRule type="expression" priority="656" aboveAverage="0" equalAverage="0" bottom="0" percent="0" rank="0" text="" dxfId="3">
      <formula>COUNTIF(02_Lich_PM!$E$5:$E$1000,DATE(2026,11,24))&gt;0</formula>
    </cfRule>
    <cfRule type="expression" priority="657" aboveAverage="0" equalAverage="0" bottom="0" percent="0" rank="0" text="" dxfId="4">
      <formula>DATE(2026,11,24)=TODAY()</formula>
    </cfRule>
  </conditionalFormatting>
  <conditionalFormatting sqref="K39">
    <cfRule type="expression" priority="658" aboveAverage="0" equalAverage="0" bottom="0" percent="0" rank="0" text="" dxfId="3">
      <formula>COUNTIF(02_Lich_PM!$E$5:$E$1000,DATE(2026,11,25))&gt;0</formula>
    </cfRule>
    <cfRule type="expression" priority="659" aboveAverage="0" equalAverage="0" bottom="0" percent="0" rank="0" text="" dxfId="4">
      <formula>DATE(2026,11,25)=TODAY()</formula>
    </cfRule>
  </conditionalFormatting>
  <conditionalFormatting sqref="L39">
    <cfRule type="expression" priority="660" aboveAverage="0" equalAverage="0" bottom="0" percent="0" rank="0" text="" dxfId="3">
      <formula>COUNTIF(02_Lich_PM!$E$5:$E$1000,DATE(2026,11,26))&gt;0</formula>
    </cfRule>
    <cfRule type="expression" priority="661" aboveAverage="0" equalAverage="0" bottom="0" percent="0" rank="0" text="" dxfId="4">
      <formula>DATE(2026,11,26)=TODAY()</formula>
    </cfRule>
  </conditionalFormatting>
  <conditionalFormatting sqref="M39">
    <cfRule type="expression" priority="662" aboveAverage="0" equalAverage="0" bottom="0" percent="0" rank="0" text="" dxfId="3">
      <formula>COUNTIF(02_Lich_PM!$E$5:$E$1000,DATE(2026,11,27))&gt;0</formula>
    </cfRule>
    <cfRule type="expression" priority="663" aboveAverage="0" equalAverage="0" bottom="0" percent="0" rank="0" text="" dxfId="4">
      <formula>DATE(2026,11,27)=TODAY()</formula>
    </cfRule>
  </conditionalFormatting>
  <conditionalFormatting sqref="N39">
    <cfRule type="expression" priority="664" aboveAverage="0" equalAverage="0" bottom="0" percent="0" rank="0" text="" dxfId="3">
      <formula>COUNTIF(02_Lich_PM!$E$5:$E$1000,DATE(2026,11,28))&gt;0</formula>
    </cfRule>
    <cfRule type="expression" priority="665" aboveAverage="0" equalAverage="0" bottom="0" percent="0" rank="0" text="" dxfId="4">
      <formula>DATE(2026,11,28)=TODAY()</formula>
    </cfRule>
  </conditionalFormatting>
  <conditionalFormatting sqref="O39">
    <cfRule type="expression" priority="666" aboveAverage="0" equalAverage="0" bottom="0" percent="0" rank="0" text="" dxfId="3">
      <formula>COUNTIF(02_Lich_PM!$E$5:$E$1000,DATE(2026,11,29))&gt;0</formula>
    </cfRule>
    <cfRule type="expression" priority="667" aboveAverage="0" equalAverage="0" bottom="0" percent="0" rank="0" text="" dxfId="4">
      <formula>DATE(2026,11,29)=TODAY()</formula>
    </cfRule>
  </conditionalFormatting>
  <conditionalFormatting sqref="I40">
    <cfRule type="expression" priority="668" aboveAverage="0" equalAverage="0" bottom="0" percent="0" rank="0" text="" dxfId="3">
      <formula>COUNTIF(02_Lich_PM!$E$5:$E$1000,DATE(2026,11,30))&gt;0</formula>
    </cfRule>
    <cfRule type="expression" priority="669" aboveAverage="0" equalAverage="0" bottom="0" percent="0" rank="0" text="" dxfId="4">
      <formula>DATE(2026,11,30)=TODAY()</formula>
    </cfRule>
  </conditionalFormatting>
  <conditionalFormatting sqref="R35">
    <cfRule type="expression" priority="670" aboveAverage="0" equalAverage="0" bottom="0" percent="0" rank="0" text="" dxfId="3">
      <formula>COUNTIF(02_Lich_PM!$E$5:$E$1000,DATE(2026,12,1))&gt;0</formula>
    </cfRule>
    <cfRule type="expression" priority="671" aboveAverage="0" equalAverage="0" bottom="0" percent="0" rank="0" text="" dxfId="4">
      <formula>DATE(2026,12,1)=TODAY()</formula>
    </cfRule>
  </conditionalFormatting>
  <conditionalFormatting sqref="S35">
    <cfRule type="expression" priority="672" aboveAverage="0" equalAverage="0" bottom="0" percent="0" rank="0" text="" dxfId="3">
      <formula>COUNTIF(02_Lich_PM!$E$5:$E$1000,DATE(2026,12,2))&gt;0</formula>
    </cfRule>
    <cfRule type="expression" priority="673" aboveAverage="0" equalAverage="0" bottom="0" percent="0" rank="0" text="" dxfId="4">
      <formula>DATE(2026,12,2)=TODAY()</formula>
    </cfRule>
  </conditionalFormatting>
  <conditionalFormatting sqref="T35">
    <cfRule type="expression" priority="674" aboveAverage="0" equalAverage="0" bottom="0" percent="0" rank="0" text="" dxfId="3">
      <formula>COUNTIF(02_Lich_PM!$E$5:$E$1000,DATE(2026,12,3))&gt;0</formula>
    </cfRule>
    <cfRule type="expression" priority="675" aboveAverage="0" equalAverage="0" bottom="0" percent="0" rank="0" text="" dxfId="4">
      <formula>DATE(2026,12,3)=TODAY()</formula>
    </cfRule>
  </conditionalFormatting>
  <conditionalFormatting sqref="U35">
    <cfRule type="expression" priority="676" aboveAverage="0" equalAverage="0" bottom="0" percent="0" rank="0" text="" dxfId="3">
      <formula>COUNTIF(02_Lich_PM!$E$5:$E$1000,DATE(2026,12,4))&gt;0</formula>
    </cfRule>
    <cfRule type="expression" priority="677" aboveAverage="0" equalAverage="0" bottom="0" percent="0" rank="0" text="" dxfId="4">
      <formula>DATE(2026,12,4)=TODAY()</formula>
    </cfRule>
  </conditionalFormatting>
  <conditionalFormatting sqref="V35">
    <cfRule type="expression" priority="678" aboveAverage="0" equalAverage="0" bottom="0" percent="0" rank="0" text="" dxfId="3">
      <formula>COUNTIF(02_Lich_PM!$E$5:$E$1000,DATE(2026,12,5))&gt;0</formula>
    </cfRule>
    <cfRule type="expression" priority="679" aboveAverage="0" equalAverage="0" bottom="0" percent="0" rank="0" text="" dxfId="4">
      <formula>DATE(2026,12,5)=TODAY()</formula>
    </cfRule>
  </conditionalFormatting>
  <conditionalFormatting sqref="W35">
    <cfRule type="expression" priority="680" aboveAverage="0" equalAverage="0" bottom="0" percent="0" rank="0" text="" dxfId="3">
      <formula>COUNTIF(02_Lich_PM!$E$5:$E$1000,DATE(2026,12,6))&gt;0</formula>
    </cfRule>
    <cfRule type="expression" priority="681" aboveAverage="0" equalAverage="0" bottom="0" percent="0" rank="0" text="" dxfId="4">
      <formula>DATE(2026,12,6)=TODAY()</formula>
    </cfRule>
  </conditionalFormatting>
  <conditionalFormatting sqref="Q36">
    <cfRule type="expression" priority="682" aboveAverage="0" equalAverage="0" bottom="0" percent="0" rank="0" text="" dxfId="3">
      <formula>COUNTIF(02_Lich_PM!$E$5:$E$1000,DATE(2026,12,7))&gt;0</formula>
    </cfRule>
    <cfRule type="expression" priority="683" aboveAverage="0" equalAverage="0" bottom="0" percent="0" rank="0" text="" dxfId="4">
      <formula>DATE(2026,12,7)=TODAY()</formula>
    </cfRule>
  </conditionalFormatting>
  <conditionalFormatting sqref="R36">
    <cfRule type="expression" priority="684" aboveAverage="0" equalAverage="0" bottom="0" percent="0" rank="0" text="" dxfId="3">
      <formula>COUNTIF(02_Lich_PM!$E$5:$E$1000,DATE(2026,12,8))&gt;0</formula>
    </cfRule>
    <cfRule type="expression" priority="685" aboveAverage="0" equalAverage="0" bottom="0" percent="0" rank="0" text="" dxfId="4">
      <formula>DATE(2026,12,8)=TODAY()</formula>
    </cfRule>
  </conditionalFormatting>
  <conditionalFormatting sqref="S36">
    <cfRule type="expression" priority="686" aboveAverage="0" equalAverage="0" bottom="0" percent="0" rank="0" text="" dxfId="3">
      <formula>COUNTIF(02_Lich_PM!$E$5:$E$1000,DATE(2026,12,9))&gt;0</formula>
    </cfRule>
    <cfRule type="expression" priority="687" aboveAverage="0" equalAverage="0" bottom="0" percent="0" rank="0" text="" dxfId="4">
      <formula>DATE(2026,12,9)=TODAY()</formula>
    </cfRule>
  </conditionalFormatting>
  <conditionalFormatting sqref="T36">
    <cfRule type="expression" priority="688" aboveAverage="0" equalAverage="0" bottom="0" percent="0" rank="0" text="" dxfId="3">
      <formula>COUNTIF(02_Lich_PM!$E$5:$E$1000,DATE(2026,12,10))&gt;0</formula>
    </cfRule>
    <cfRule type="expression" priority="689" aboveAverage="0" equalAverage="0" bottom="0" percent="0" rank="0" text="" dxfId="4">
      <formula>DATE(2026,12,10)=TODAY()</formula>
    </cfRule>
  </conditionalFormatting>
  <conditionalFormatting sqref="U36">
    <cfRule type="expression" priority="690" aboveAverage="0" equalAverage="0" bottom="0" percent="0" rank="0" text="" dxfId="3">
      <formula>COUNTIF(02_Lich_PM!$E$5:$E$1000,DATE(2026,12,11))&gt;0</formula>
    </cfRule>
    <cfRule type="expression" priority="691" aboveAverage="0" equalAverage="0" bottom="0" percent="0" rank="0" text="" dxfId="4">
      <formula>DATE(2026,12,11)=TODAY()</formula>
    </cfRule>
  </conditionalFormatting>
  <conditionalFormatting sqref="V36">
    <cfRule type="expression" priority="692" aboveAverage="0" equalAverage="0" bottom="0" percent="0" rank="0" text="" dxfId="3">
      <formula>COUNTIF(02_Lich_PM!$E$5:$E$1000,DATE(2026,12,12))&gt;0</formula>
    </cfRule>
    <cfRule type="expression" priority="693" aboveAverage="0" equalAverage="0" bottom="0" percent="0" rank="0" text="" dxfId="4">
      <formula>DATE(2026,12,12)=TODAY()</formula>
    </cfRule>
  </conditionalFormatting>
  <conditionalFormatting sqref="W36">
    <cfRule type="expression" priority="694" aboveAverage="0" equalAverage="0" bottom="0" percent="0" rank="0" text="" dxfId="3">
      <formula>COUNTIF(02_Lich_PM!$E$5:$E$1000,DATE(2026,12,13))&gt;0</formula>
    </cfRule>
    <cfRule type="expression" priority="695" aboveAverage="0" equalAverage="0" bottom="0" percent="0" rank="0" text="" dxfId="4">
      <formula>DATE(2026,12,13)=TODAY()</formula>
    </cfRule>
  </conditionalFormatting>
  <conditionalFormatting sqref="Q37">
    <cfRule type="expression" priority="696" aboveAverage="0" equalAverage="0" bottom="0" percent="0" rank="0" text="" dxfId="3">
      <formula>COUNTIF(02_Lich_PM!$E$5:$E$1000,DATE(2026,12,14))&gt;0</formula>
    </cfRule>
    <cfRule type="expression" priority="697" aboveAverage="0" equalAverage="0" bottom="0" percent="0" rank="0" text="" dxfId="4">
      <formula>DATE(2026,12,14)=TODAY()</formula>
    </cfRule>
  </conditionalFormatting>
  <conditionalFormatting sqref="R37">
    <cfRule type="expression" priority="698" aboveAverage="0" equalAverage="0" bottom="0" percent="0" rank="0" text="" dxfId="3">
      <formula>COUNTIF(02_Lich_PM!$E$5:$E$1000,DATE(2026,12,15))&gt;0</formula>
    </cfRule>
    <cfRule type="expression" priority="699" aboveAverage="0" equalAverage="0" bottom="0" percent="0" rank="0" text="" dxfId="4">
      <formula>DATE(2026,12,15)=TODAY()</formula>
    </cfRule>
  </conditionalFormatting>
  <conditionalFormatting sqref="S37">
    <cfRule type="expression" priority="700" aboveAverage="0" equalAverage="0" bottom="0" percent="0" rank="0" text="" dxfId="3">
      <formula>COUNTIF(02_Lich_PM!$E$5:$E$1000,DATE(2026,12,16))&gt;0</formula>
    </cfRule>
    <cfRule type="expression" priority="701" aboveAverage="0" equalAverage="0" bottom="0" percent="0" rank="0" text="" dxfId="4">
      <formula>DATE(2026,12,16)=TODAY()</formula>
    </cfRule>
  </conditionalFormatting>
  <conditionalFormatting sqref="T37">
    <cfRule type="expression" priority="702" aboveAverage="0" equalAverage="0" bottom="0" percent="0" rank="0" text="" dxfId="3">
      <formula>COUNTIF(02_Lich_PM!$E$5:$E$1000,DATE(2026,12,17))&gt;0</formula>
    </cfRule>
    <cfRule type="expression" priority="703" aboveAverage="0" equalAverage="0" bottom="0" percent="0" rank="0" text="" dxfId="4">
      <formula>DATE(2026,12,17)=TODAY()</formula>
    </cfRule>
  </conditionalFormatting>
  <conditionalFormatting sqref="U37">
    <cfRule type="expression" priority="704" aboveAverage="0" equalAverage="0" bottom="0" percent="0" rank="0" text="" dxfId="3">
      <formula>COUNTIF(02_Lich_PM!$E$5:$E$1000,DATE(2026,12,18))&gt;0</formula>
    </cfRule>
    <cfRule type="expression" priority="705" aboveAverage="0" equalAverage="0" bottom="0" percent="0" rank="0" text="" dxfId="4">
      <formula>DATE(2026,12,18)=TODAY()</formula>
    </cfRule>
  </conditionalFormatting>
  <conditionalFormatting sqref="V37">
    <cfRule type="expression" priority="706" aboveAverage="0" equalAverage="0" bottom="0" percent="0" rank="0" text="" dxfId="3">
      <formula>COUNTIF(02_Lich_PM!$E$5:$E$1000,DATE(2026,12,19))&gt;0</formula>
    </cfRule>
    <cfRule type="expression" priority="707" aboveAverage="0" equalAverage="0" bottom="0" percent="0" rank="0" text="" dxfId="4">
      <formula>DATE(2026,12,19)=TODAY()</formula>
    </cfRule>
  </conditionalFormatting>
  <conditionalFormatting sqref="W37">
    <cfRule type="expression" priority="708" aboveAverage="0" equalAverage="0" bottom="0" percent="0" rank="0" text="" dxfId="3">
      <formula>COUNTIF(02_Lich_PM!$E$5:$E$1000,DATE(2026,12,20))&gt;0</formula>
    </cfRule>
    <cfRule type="expression" priority="709" aboveAverage="0" equalAverage="0" bottom="0" percent="0" rank="0" text="" dxfId="4">
      <formula>DATE(2026,12,20)=TODAY()</formula>
    </cfRule>
  </conditionalFormatting>
  <conditionalFormatting sqref="Q38">
    <cfRule type="expression" priority="710" aboveAverage="0" equalAverage="0" bottom="0" percent="0" rank="0" text="" dxfId="3">
      <formula>COUNTIF(02_Lich_PM!$E$5:$E$1000,DATE(2026,12,21))&gt;0</formula>
    </cfRule>
    <cfRule type="expression" priority="711" aboveAverage="0" equalAverage="0" bottom="0" percent="0" rank="0" text="" dxfId="4">
      <formula>DATE(2026,12,21)=TODAY()</formula>
    </cfRule>
  </conditionalFormatting>
  <conditionalFormatting sqref="R38">
    <cfRule type="expression" priority="712" aboveAverage="0" equalAverage="0" bottom="0" percent="0" rank="0" text="" dxfId="3">
      <formula>COUNTIF(02_Lich_PM!$E$5:$E$1000,DATE(2026,12,22))&gt;0</formula>
    </cfRule>
    <cfRule type="expression" priority="713" aboveAverage="0" equalAverage="0" bottom="0" percent="0" rank="0" text="" dxfId="4">
      <formula>DATE(2026,12,22)=TODAY()</formula>
    </cfRule>
  </conditionalFormatting>
  <conditionalFormatting sqref="S38">
    <cfRule type="expression" priority="714" aboveAverage="0" equalAverage="0" bottom="0" percent="0" rank="0" text="" dxfId="3">
      <formula>COUNTIF(02_Lich_PM!$E$5:$E$1000,DATE(2026,12,23))&gt;0</formula>
    </cfRule>
    <cfRule type="expression" priority="715" aboveAverage="0" equalAverage="0" bottom="0" percent="0" rank="0" text="" dxfId="4">
      <formula>DATE(2026,12,23)=TODAY()</formula>
    </cfRule>
  </conditionalFormatting>
  <conditionalFormatting sqref="T38">
    <cfRule type="expression" priority="716" aboveAverage="0" equalAverage="0" bottom="0" percent="0" rank="0" text="" dxfId="3">
      <formula>COUNTIF(02_Lich_PM!$E$5:$E$1000,DATE(2026,12,24))&gt;0</formula>
    </cfRule>
    <cfRule type="expression" priority="717" aboveAverage="0" equalAverage="0" bottom="0" percent="0" rank="0" text="" dxfId="4">
      <formula>DATE(2026,12,24)=TODAY()</formula>
    </cfRule>
  </conditionalFormatting>
  <conditionalFormatting sqref="U38">
    <cfRule type="expression" priority="718" aboveAverage="0" equalAverage="0" bottom="0" percent="0" rank="0" text="" dxfId="3">
      <formula>COUNTIF(02_Lich_PM!$E$5:$E$1000,DATE(2026,12,25))&gt;0</formula>
    </cfRule>
    <cfRule type="expression" priority="719" aboveAverage="0" equalAverage="0" bottom="0" percent="0" rank="0" text="" dxfId="4">
      <formula>DATE(2026,12,25)=TODAY()</formula>
    </cfRule>
  </conditionalFormatting>
  <conditionalFormatting sqref="V38">
    <cfRule type="expression" priority="720" aboveAverage="0" equalAverage="0" bottom="0" percent="0" rank="0" text="" dxfId="3">
      <formula>COUNTIF(02_Lich_PM!$E$5:$E$1000,DATE(2026,12,26))&gt;0</formula>
    </cfRule>
    <cfRule type="expression" priority="721" aboveAverage="0" equalAverage="0" bottom="0" percent="0" rank="0" text="" dxfId="4">
      <formula>DATE(2026,12,26)=TODAY()</formula>
    </cfRule>
  </conditionalFormatting>
  <conditionalFormatting sqref="W38">
    <cfRule type="expression" priority="722" aboveAverage="0" equalAverage="0" bottom="0" percent="0" rank="0" text="" dxfId="3">
      <formula>COUNTIF(02_Lich_PM!$E$5:$E$1000,DATE(2026,12,27))&gt;0</formula>
    </cfRule>
    <cfRule type="expression" priority="723" aboveAverage="0" equalAverage="0" bottom="0" percent="0" rank="0" text="" dxfId="4">
      <formula>DATE(2026,12,27)=TODAY()</formula>
    </cfRule>
  </conditionalFormatting>
  <conditionalFormatting sqref="Q39">
    <cfRule type="expression" priority="724" aboveAverage="0" equalAverage="0" bottom="0" percent="0" rank="0" text="" dxfId="3">
      <formula>COUNTIF(02_Lich_PM!$E$5:$E$1000,DATE(2026,12,28))&gt;0</formula>
    </cfRule>
    <cfRule type="expression" priority="725" aboveAverage="0" equalAverage="0" bottom="0" percent="0" rank="0" text="" dxfId="4">
      <formula>DATE(2026,12,28)=TODAY()</formula>
    </cfRule>
  </conditionalFormatting>
  <conditionalFormatting sqref="R39">
    <cfRule type="expression" priority="726" aboveAverage="0" equalAverage="0" bottom="0" percent="0" rank="0" text="" dxfId="3">
      <formula>COUNTIF(02_Lich_PM!$E$5:$E$1000,DATE(2026,12,29))&gt;0</formula>
    </cfRule>
    <cfRule type="expression" priority="727" aboveAverage="0" equalAverage="0" bottom="0" percent="0" rank="0" text="" dxfId="4">
      <formula>DATE(2026,12,29)=TODAY()</formula>
    </cfRule>
  </conditionalFormatting>
  <conditionalFormatting sqref="S39">
    <cfRule type="expression" priority="728" aboveAverage="0" equalAverage="0" bottom="0" percent="0" rank="0" text="" dxfId="3">
      <formula>COUNTIF(02_Lich_PM!$E$5:$E$1000,DATE(2026,12,30))&gt;0</formula>
    </cfRule>
    <cfRule type="expression" priority="729" aboveAverage="0" equalAverage="0" bottom="0" percent="0" rank="0" text="" dxfId="4">
      <formula>DATE(2026,12,30)=TODAY()</formula>
    </cfRule>
  </conditionalFormatting>
  <conditionalFormatting sqref="T39">
    <cfRule type="expression" priority="730" aboveAverage="0" equalAverage="0" bottom="0" percent="0" rank="0" text="" dxfId="3">
      <formula>COUNTIF(02_Lich_PM!$E$5:$E$1000,DATE(2026,12,31))&gt;0</formula>
    </cfRule>
    <cfRule type="expression" priority="731" aboveAverage="0" equalAverage="0" bottom="0" percent="0" rank="0" text="" dxfId="4">
      <formula>DATE(2026,12,31)=TODAY()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2026-07-09T01:08:53Z</dcterms:created>
  <dc:creator>openpyxl</dc:creator>
  <dc:description/>
  <dc:language>en-US</dc:language>
  <cp:lastModifiedBy/>
  <dcterms:modified xsi:type="dcterms:W3CDTF">2026-07-09T06:33:01Z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